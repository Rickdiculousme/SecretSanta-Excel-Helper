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5"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clark/Desktop/"/>
    </mc:Choice>
  </mc:AlternateContent>
  <xr:revisionPtr revIDLastSave="0" documentId="13_ncr:1_{891A3B6C-6134-9247-87DF-24E4DD9B53DF}" xr6:coauthVersionLast="47" xr6:coauthVersionMax="47" xr10:uidLastSave="{00000000-0000-0000-0000-000000000000}"/>
  <bookViews>
    <workbookView xWindow="0" yWindow="760" windowWidth="34560" windowHeight="21580" xr2:uid="{E9CEE724-DF65-1C4E-BA32-A5BE0D5B7637}"/>
  </bookViews>
  <sheets>
    <sheet name="Secret Santa" sheetId="1" r:id="rId1"/>
    <sheet name="Send Email" sheetId="2" r:id="rId2"/>
  </sheets>
  <functionGroups builtInGroupCount="19"/>
  <definedNames>
    <definedName name="_xlpm.actNames" hidden="1" xlm="1">#NAME?</definedName>
    <definedName name="_xlpm.filtered" hidden="1" xlm="1">#NAME?</definedName>
    <definedName name="_xlpm.keep" hidden="1" xlm="1">#NAME?</definedName>
    <definedName name="_xlpm.mask" hidden="1" xlm="1">#NAME?</definedName>
    <definedName name="_xlpm.n" hidden="1" xlm="1">#NAME?</definedName>
    <definedName name="_xlpm.normPE" hidden="1" xlm="1">#NAME?</definedName>
    <definedName name="_xlpm.normPrev" hidden="1" xlm="1">#NAME?</definedName>
    <definedName name="_xlpm.offs" hidden="1" xlm="1">#NAME?</definedName>
    <definedName name="_xlpm.peRow" hidden="1" xlm="1">#NAME?</definedName>
    <definedName name="_xlpm.peVals" hidden="1" xlm="1">#NAME?</definedName>
    <definedName name="_xlpm.prevIdx" hidden="1" xlm="1">#NAME?</definedName>
    <definedName name="_xlpm.prevStart" hidden="1" xlm="1">#NAME?</definedName>
    <definedName name="_xlpm.prevVals" hidden="1" xlm="1">#NAME?</definedName>
    <definedName name="_xlpm.r" hidden="1" xlm="1">#NAME?</definedName>
    <definedName name="_xlpm.rowAll" hidden="1" xlm="1">#NAME?</definedName>
    <definedName name="_xlpm.s" hidden="1" xlm="1">#NAME?</definedName>
    <definedName name="_xlpm.v" hidden="1" xlm="1">#NAME?</definedName>
    <definedName name="_xlpm.vals" hidden="1" xlm="1">#NAME?</definedName>
    <definedName name="_xlpm.y" hidden="1" xlm="1">#NAME?</definedName>
    <definedName name="Contact">'Secret Santa'!$B$8:$B$33</definedName>
    <definedName name="Names">'Secret Santa'!$C$8:$C$38</definedName>
    <definedName name="This_Year">'Secret Santa'!$B$3</definedName>
    <definedName name="Years_Exclude">'Secret Santa'!$B$4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8" i="1" l="1" a="1"/>
  <c r="Y8" i="1" s="1"/>
  <c r="Y9" i="1" a="1"/>
  <c r="Y9" i="1" s="1"/>
  <c r="Y10" i="1" a="1"/>
  <c r="Y10" i="1" s="1"/>
  <c r="Y11" i="1" a="1"/>
  <c r="Y11" i="1" s="1"/>
  <c r="Y12" i="1" a="1"/>
  <c r="Y12" i="1" s="1"/>
  <c r="Y13" i="1" a="1"/>
  <c r="Y13" i="1" s="1"/>
  <c r="Y14" i="1" a="1"/>
  <c r="Y14" i="1" s="1"/>
  <c r="Y15" i="1" a="1"/>
  <c r="Y15" i="1" s="1"/>
  <c r="Y16" i="1" a="1"/>
  <c r="Y16" i="1" s="1"/>
  <c r="Y17" i="1" a="1"/>
  <c r="Y17" i="1" s="1"/>
  <c r="Y18" i="1" a="1"/>
  <c r="Y18" i="1" s="1"/>
  <c r="Y19" i="1" a="1"/>
  <c r="Y19" i="1" s="1"/>
  <c r="Y20" i="1" a="1"/>
  <c r="Y20" i="1" s="1"/>
  <c r="Y21" i="1" a="1"/>
  <c r="Y21" i="1" s="1"/>
  <c r="Y22" i="1" a="1"/>
  <c r="Y22" i="1" s="1"/>
  <c r="Y23" i="1" a="1"/>
  <c r="Y23" i="1" s="1"/>
  <c r="Y24" i="1" a="1"/>
  <c r="Y24" i="1" s="1"/>
  <c r="Y25" i="1" a="1"/>
  <c r="Y25" i="1" s="1"/>
  <c r="Y26" i="1" a="1"/>
  <c r="Y26" i="1" s="1"/>
  <c r="Y27" i="1" a="1"/>
  <c r="Y27" i="1" s="1"/>
  <c r="Y28" i="1" a="1"/>
  <c r="Y28" i="1" s="1"/>
  <c r="Y29" i="1" a="1"/>
  <c r="Y29" i="1" s="1"/>
  <c r="Y30" i="1" a="1"/>
  <c r="Y30" i="1" s="1"/>
  <c r="Y31" i="1" a="1"/>
  <c r="Y31" i="1" s="1"/>
  <c r="Y32" i="1" a="1"/>
  <c r="Y32" i="1" s="1"/>
  <c r="Y33" i="1" a="1"/>
  <c r="Y33" i="1" s="1"/>
  <c r="Y34" i="1" a="1"/>
  <c r="Y34" i="1" s="1"/>
  <c r="Y35" i="1" a="1"/>
  <c r="Y35" i="1" s="1"/>
  <c r="Y36" i="1" a="1"/>
  <c r="Y36" i="1" s="1"/>
  <c r="Y37" i="1" a="1"/>
  <c r="Y37" i="1" s="1"/>
  <c r="Y38" i="1" a="1"/>
  <c r="Y38" i="1" s="1"/>
  <c r="AA10" i="1" l="1" a="1"/>
  <c r="AA10" i="1" s="1"/>
  <c r="AA11" i="1" a="1"/>
  <c r="AA11" i="1" s="1"/>
  <c r="AA22" i="1" a="1"/>
  <c r="AA22" i="1" s="1"/>
  <c r="AA16" i="1" a="1"/>
  <c r="AA16" i="1" s="1"/>
  <c r="AA20" i="1" a="1"/>
  <c r="AA20" i="1" s="1"/>
  <c r="AA8" i="1" a="1"/>
  <c r="AA8" i="1" s="1"/>
  <c r="AA37" i="1" a="1"/>
  <c r="AA37" i="1" s="1"/>
  <c r="AA17" i="1" a="1"/>
  <c r="AA17" i="1" s="1"/>
  <c r="AA15" i="1" a="1"/>
  <c r="AA15" i="1" s="1"/>
  <c r="AA27" i="1" a="1"/>
  <c r="AA27" i="1" s="1"/>
  <c r="AA31" i="1" a="1"/>
  <c r="AA31" i="1" s="1"/>
  <c r="AA21" i="1" a="1"/>
  <c r="AA21" i="1" s="1"/>
  <c r="AA35" i="1" a="1"/>
  <c r="AA35" i="1" s="1"/>
  <c r="AA34" i="1" a="1"/>
  <c r="AA34" i="1" s="1"/>
  <c r="AA29" i="1" a="1"/>
  <c r="AA29" i="1" s="1"/>
  <c r="AA24" i="1" a="1"/>
  <c r="AA24" i="1" s="1"/>
  <c r="AA19" i="1" a="1"/>
  <c r="AA19" i="1" s="1"/>
  <c r="AA14" i="1" a="1"/>
  <c r="AA14" i="1" s="1"/>
  <c r="AA9" i="1" a="1"/>
  <c r="AA9" i="1" s="1"/>
  <c r="AA32" i="1" a="1"/>
  <c r="AA32" i="1" s="1"/>
  <c r="AA12" i="1" a="1"/>
  <c r="AA12" i="1" s="1"/>
  <c r="AA36" i="1" a="1"/>
  <c r="AA36" i="1" s="1"/>
  <c r="AA25" i="1" a="1"/>
  <c r="AA25" i="1" s="1"/>
  <c r="AA26" i="1" a="1"/>
  <c r="AA26" i="1" s="1"/>
  <c r="AA30" i="1" a="1"/>
  <c r="AA30" i="1" s="1"/>
  <c r="AA38" i="1" a="1"/>
  <c r="AA38" i="1" s="1"/>
  <c r="AA33" i="1" a="1"/>
  <c r="AA33" i="1" s="1"/>
  <c r="AA28" i="1" a="1"/>
  <c r="AA28" i="1" s="1"/>
  <c r="AA23" i="1" a="1"/>
  <c r="AA23" i="1" s="1"/>
  <c r="AA18" i="1" a="1"/>
  <c r="AA18" i="1" s="1"/>
  <c r="AA13" i="1" a="1"/>
  <c r="AA13" i="1" s="1"/>
  <c r="Z25" i="1" a="1"/>
  <c r="Z25" i="1" s="1"/>
  <c r="Z36" i="1" a="1"/>
  <c r="Z36" i="1" s="1"/>
  <c r="A36" i="1" s="1"/>
  <c r="Z20" i="1" a="1"/>
  <c r="Z20" i="1" s="1"/>
  <c r="A20" i="1" s="1"/>
  <c r="Z35" i="1" a="1"/>
  <c r="Z35" i="1" s="1"/>
  <c r="Z31" i="1" a="1"/>
  <c r="Z31" i="1" s="1"/>
  <c r="A31" i="1" s="1"/>
  <c r="Z15" i="1" a="1"/>
  <c r="Z15" i="1" s="1"/>
  <c r="Z30" i="1" a="1"/>
  <c r="Z30" i="1" s="1"/>
  <c r="A30" i="1" s="1"/>
  <c r="Z10" i="1" a="1"/>
  <c r="Z10" i="1" s="1"/>
  <c r="A10" i="1" s="1"/>
  <c r="Z11" i="1" a="1"/>
  <c r="Z11" i="1" s="1"/>
  <c r="A11" i="1" s="1"/>
  <c r="Z16" i="1" a="1"/>
  <c r="Z16" i="1" s="1"/>
  <c r="A16" i="1" s="1"/>
  <c r="Z21" i="1" a="1"/>
  <c r="Z21" i="1" s="1"/>
  <c r="A21" i="1" s="1"/>
  <c r="Z26" i="1" a="1"/>
  <c r="Z26" i="1" s="1"/>
  <c r="A26" i="1" s="1"/>
  <c r="Z17" i="1" a="1"/>
  <c r="Z17" i="1" s="1"/>
  <c r="Z22" i="1" a="1"/>
  <c r="Z22" i="1" s="1"/>
  <c r="A22" i="1" s="1"/>
  <c r="Z27" i="1" a="1"/>
  <c r="Z27" i="1" s="1"/>
  <c r="A27" i="1" s="1"/>
  <c r="Z32" i="1" a="1"/>
  <c r="Z32" i="1" s="1"/>
  <c r="Z37" i="1" a="1"/>
  <c r="Z37" i="1" s="1"/>
  <c r="A37" i="1" s="1"/>
  <c r="Z12" i="1" a="1"/>
  <c r="Z12" i="1" s="1"/>
  <c r="A12" i="1" s="1"/>
  <c r="Z8" i="1" a="1"/>
  <c r="Z8" i="1" s="1"/>
  <c r="A8" i="1" s="1"/>
  <c r="Z34" i="1" a="1"/>
  <c r="Z34" i="1" s="1"/>
  <c r="A34" i="1" s="1"/>
  <c r="Z29" i="1" a="1"/>
  <c r="Z29" i="1" s="1"/>
  <c r="A29" i="1" s="1"/>
  <c r="Z24" i="1" a="1"/>
  <c r="Z24" i="1" s="1"/>
  <c r="A24" i="1" s="1"/>
  <c r="Z19" i="1" a="1"/>
  <c r="Z19" i="1" s="1"/>
  <c r="A19" i="1" s="1"/>
  <c r="Z14" i="1" a="1"/>
  <c r="Z14" i="1" s="1"/>
  <c r="Z9" i="1" a="1"/>
  <c r="Z9" i="1" s="1"/>
  <c r="A9" i="1" s="1"/>
  <c r="Z38" i="1" a="1"/>
  <c r="Z38" i="1" s="1"/>
  <c r="A38" i="1" s="1"/>
  <c r="Z33" i="1" a="1"/>
  <c r="Z33" i="1" s="1"/>
  <c r="Z28" i="1" a="1"/>
  <c r="Z28" i="1" s="1"/>
  <c r="Z23" i="1" a="1"/>
  <c r="Z23" i="1" s="1"/>
  <c r="Z18" i="1" a="1"/>
  <c r="Z18" i="1" s="1"/>
  <c r="Z13" i="1" a="1"/>
  <c r="Z13" i="1" s="1"/>
  <c r="A13" i="1" s="1"/>
  <c r="A23" i="1" l="1"/>
  <c r="A28" i="1"/>
  <c r="A14" i="1"/>
  <c r="A35" i="1"/>
  <c r="A17" i="1"/>
  <c r="A25" i="1"/>
  <c r="A33" i="1"/>
  <c r="A32" i="1"/>
  <c r="A15" i="1"/>
  <c r="A18" i="1"/>
  <c r="B2" i="2" a="1"/>
  <c r="B2" i="2" s="1"/>
  <c r="C2" i="2" a="1"/>
  <c r="C2" i="2" s="1"/>
  <c r="A2" i="2" l="1" a="1"/>
  <c r="A2"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<sst xmlns="http://schemas.openxmlformats.org/spreadsheetml/2006/main" count="152" uniqueCount="72">
  <si>
    <t>Buys For</t>
  </si>
  <si>
    <t>Contact</t>
  </si>
  <si>
    <t>Secret Santa Generator</t>
  </si>
  <si>
    <t>https://arcanis.github.io/secretsanta/</t>
  </si>
  <si>
    <t>2020</t>
  </si>
  <si>
    <t>2021</t>
  </si>
  <si>
    <t>2022</t>
  </si>
  <si>
    <t>2023</t>
  </si>
  <si>
    <t>2024</t>
  </si>
  <si>
    <t>2025</t>
  </si>
  <si>
    <t>2026</t>
  </si>
  <si>
    <t>2027</t>
  </si>
  <si>
    <t>2028</t>
  </si>
  <si>
    <t>2029</t>
  </si>
  <si>
    <t>2030</t>
  </si>
  <si>
    <t>Column14</t>
  </si>
  <si>
    <t>Column15</t>
  </si>
  <si>
    <t>Column16</t>
  </si>
  <si>
    <t>Column17</t>
  </si>
  <si>
    <t>Column18</t>
  </si>
  <si>
    <t>Column19</t>
  </si>
  <si>
    <t>Output</t>
  </si>
  <si>
    <t>This Year:</t>
  </si>
  <si>
    <t>How many years to look back</t>
  </si>
  <si>
    <t>Buyer</t>
  </si>
  <si>
    <t>Name</t>
  </si>
  <si>
    <t>Link</t>
  </si>
  <si>
    <t>Email</t>
  </si>
  <si>
    <t>Permanent Exclusions 1</t>
  </si>
  <si>
    <t>Permanent Exclusions 2</t>
  </si>
  <si>
    <t>Permanent Exclusions 3</t>
  </si>
  <si>
    <t>Permanent Exclusions 4</t>
  </si>
  <si>
    <t>Permanent Exclusions 5</t>
  </si>
  <si>
    <t>Permanent Exclusions 6</t>
  </si>
  <si>
    <t>Permanent Exclusions 7</t>
  </si>
  <si>
    <t>Permanent Exclusions 8</t>
  </si>
  <si>
    <t>Permanent Exclusions 9</t>
  </si>
  <si>
    <t>Adult1</t>
  </si>
  <si>
    <t>Spouse1</t>
  </si>
  <si>
    <t>Kid1</t>
  </si>
  <si>
    <t>Adult2</t>
  </si>
  <si>
    <t>Spouse2</t>
  </si>
  <si>
    <t>Adult3</t>
  </si>
  <si>
    <t>Adult4</t>
  </si>
  <si>
    <t>email1</t>
  </si>
  <si>
    <t>email2</t>
  </si>
  <si>
    <t>email3</t>
  </si>
  <si>
    <t>email4</t>
  </si>
  <si>
    <t>email5</t>
  </si>
  <si>
    <t>email6</t>
  </si>
  <si>
    <t>email7</t>
  </si>
  <si>
    <t>email8</t>
  </si>
  <si>
    <t>Adult5</t>
  </si>
  <si>
    <t>Adult6</t>
  </si>
  <si>
    <t>Adult7</t>
  </si>
  <si>
    <t>yes</t>
  </si>
  <si>
    <t>https://mael.dev/secretsanta/pairing?from=Adult1&amp;to=fpeFlvcP%2FWOXV7O5uMEX3buZvHWTCbtWFjJLdRcr3M%2FJag%3D%3D</t>
  </si>
  <si>
    <t>https://mael.dev/secretsanta/pairing?from=Adult2&amp;to=IqrnEwpitPN%2BkZNNDvY157wg8mmC9bOmrGYAw%2BR12IhKYg%3D%3D</t>
  </si>
  <si>
    <t>https://mael.dev/secretsanta/pairing?from=Adult3&amp;to=LBhajqMjEHVDeKa2PdLD5FqVVm4%2B0chrHgKgDo%2BExU5P6w%3D%3D</t>
  </si>
  <si>
    <t>https://mael.dev/secretsanta/pairing?from=Adult4&amp;to=qex7mN%2F3H6b4Q%2F%2F9%2FXA103mJqcbd43OwGCR0p3sKLPIiug%3D%3D</t>
  </si>
  <si>
    <t>https://mael.dev/secretsanta/pairing?from=Adult5&amp;to=r1AvLhtGk1lofu7VaOxKYz0UxDQT7JuOjQ0zQ0m00fLEwPw%3D</t>
  </si>
  <si>
    <t>https://mael.dev/secretsanta/pairing?from=Adult6&amp;to=jttRSkLMxuHkk%2FKM9MwBlaxZa6bORG9lqmk13qbENoE%3D</t>
  </si>
  <si>
    <t>https://mael.dev/secretsanta/pairing?from=Adult7&amp;to=HP1CRJCbNVi6CfjPr2xZY7Iqw9PuDu6lHLwPmXG1TZNBJg%3D%3D</t>
  </si>
  <si>
    <t>https://mael.dev/secretsanta/pairing?from=Kid1&amp;to=yyt%2B%2BDT6yMTbRUO4gtLDTldIW0cnxAySLorYRP5DEi74Eg%3D%3D</t>
  </si>
  <si>
    <t>https://mael.dev/secretsanta/pairing?from=Spouse1&amp;to=P4GWGVuLRSm0RgoD1%2FOnPdqNtSnPdOi8qpyJLvfJqgyS2b8%3D</t>
  </si>
  <si>
    <t>https://mael.dev/secretsanta/pairing?from=Spouse2&amp;to=%2FBbpg3adVyVcr1KtU9fIZpdMAKG35LTWsjjBhWAHwyZcug%3D%3D</t>
  </si>
  <si>
    <t>Green if they are in this year's secret Santa by writing Yes in the year</t>
  </si>
  <si>
    <t>ActiveNow</t>
  </si>
  <si>
    <t>PrevFiltered</t>
  </si>
  <si>
    <t>PE_Filtered</t>
  </si>
  <si>
    <t>Permanent Exclusions 10</t>
  </si>
  <si>
    <t>Helper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</si>
</sst>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2"/>
      <color theme="1"/>
      <name val="Calibri"/>
      <family val="2"/>
      <scheme val="minor"/>
    </font>
    <font>
      <u/>
      <sz val="12"/>
      <color theme="10"/>
      <name val="Calibri"/>
      <family val="2"/>
      <scheme val="minor"/>
    </font>
    <font>
      <sz val="11"/>
      <color indexed="8"/>
      <name val="Calibri"/>
      <family val="2"/>
      <scheme val="minor"/>
    </font>
    <font>
      <sz val="10"/>
      <color theme="1"/>
      <name val="Arial Unicode MS"/>
      <family val="2"/>
    </font>
    <font>
      <b/>
      <sz val="14"/>
      <color theme="1"/>
      <name val="Calibri"/>
      <family val="2"/>
      <scheme val="minor"/>
    </font>
    <font>
      <b/>
      <sz val="12"/>
      <color theme="0"/>
      <name val="Calibri"/>
      <family val="2"/>
      <scheme val="minor"/>
    </font>
    <font>
      <sz val="8"/>
      <name val="Calibri"/>
      <family val="2"/>
      <scheme val="minor"/>
    </font>
    <font>
      <sz val="12"/>
      <color rgb="FF000000"/>
      <name val="Calibri"/>
      <family val="2"/>
      <scheme val="minor"/>
    </font>
    <font>
      <b/>
      <sz val="12"/>
      <color rgb="FFFFFFFF"/>
      <name val="Calibri"/>
      <family val="2"/>
      <scheme val="minor"/>
    </font>
  </fonts>
  <fills count="5">
    <fill>
      <patternFill patternType="none"/>
    </fill>
    <fill>
      <patternFill patternType="gray125"/>
    </fill>
    <fill>
      <patternFill patternType="solid">
        <fgColor theme="8"/>
        <bgColor theme="8"/>
      </patternFill>
    </fill>
    <fill>
      <patternFill patternType="solid">
        <fgColor theme="8" tint="0.79998168889431442"/>
        <bgColor theme="8" tint="0.79998168889431442"/>
      </patternFill>
    </fill>
    <fill>
      <patternFill patternType="solid">
        <fgColor rgb="FF5B9BD5"/>
        <bgColor rgb="FF5B9BD5"/>
      </patternFill>
    </fill>
  </fills>
  <borders count="4">
    <border>
      <left/>
      <right/>
      <top/>
      <bottom/>
      <diagonal/>
    </border>
    <border>
      <left/>
      <right/>
      <top style="thin">
        <color theme="8" tint="0.39997558519241921"/>
      </top>
      <bottom style="thin">
        <color theme="8" tint="0.39997558519241921"/>
      </bottom>
      <diagonal/>
    </border>
    <border>
      <left/>
      <right/>
      <top style="thin">
        <color theme="8" tint="0.39997558519241921"/>
      </top>
      <bottom/>
      <diagonal/>
    </border>
    <border>
      <left/>
      <right/>
      <top style="thin">
        <color rgb="FF9BC2E6"/>
      </top>
      <bottom style="thin">
        <color rgb="FF8EA9DB"/>
      </bottom>
      <diagonal/>
    </border>
  </borders>
  <cellStyleXfs count="3">
    <xf numFmtId="0" fontId="0" fillId="0" borderId="0"/>
    <xf numFmtId="0" fontId="1" fillId="0" borderId="0" applyNumberFormat="0" applyFill="0" applyBorder="0" applyAlignment="0" applyProtection="0"/>
    <xf numFmtId="0" fontId="2" fillId="0" borderId="0"/>
  </cellStyleXfs>
  <cellXfs count="14">
    <xf numFmtId="0" fontId="0" fillId="0" borderId="0" xfId="0"/>
    <xf numFmtId="0" fontId="1" fillId="0" borderId="0" xfId="1"/>
    <xf numFmtId="0" fontId="3" fillId="0" borderId="0" xfId="0" applyFont="1"/>
    <xf numFmtId="0" fontId="0" fillId="3" borderId="1" xfId="0" applyFill="1" applyBorder="1"/>
    <xf numFmtId="0" fontId="5" fillId="2" borderId="2" xfId="0" applyFont="1" applyFill="1" applyBorder="1"/>
    <xf numFmtId="0" fontId="1" fillId="3" borderId="2" xfId="1" applyFill="1" applyBorder="1"/>
    <xf numFmtId="0" fontId="4" fillId="3" borderId="2" xfId="0" applyFont="1" applyFill="1" applyBorder="1"/>
    <xf numFmtId="0" fontId="0" fillId="3" borderId="2" xfId="0" applyFill="1" applyBorder="1"/>
    <xf numFmtId="0" fontId="1" fillId="0" borderId="2" xfId="1" applyBorder="1"/>
    <xf numFmtId="0" fontId="4" fillId="0" borderId="2" xfId="0" applyFont="1" applyBorder="1"/>
    <xf numFmtId="0" fontId="0" fillId="0" borderId="2" xfId="0" applyBorder="1"/>
    <xf numFmtId="0" fontId="1" fillId="0" borderId="2" xfId="1" applyFill="1" applyBorder="1"/>
    <xf numFmtId="0" fontId="7" fillId="0" borderId="0" xfId="0" applyFont="1"/>
    <xf numFmtId="0" fontId="8" fillId="4" borderId="3" xfId="0" applyFont="1" applyFill="1" applyBorder="1"/>
  </cellXfs>
  <cellStyles count="3">
    <cellStyle name="Hyperlink" xfId="1" builtinId="8"/>
    <cellStyle name="Normal" xfId="0" builtinId="0"/>
    <cellStyle name="Normal 2" xfId="2" xr:uid="{A30EE7DD-6AF4-6147-AAAF-CD0049209A47}"/>
  </cellStyles>
  <dxfs count="53">
    <dxf>
      <font>
        <b val="0"/>
        <i val="0"/>
        <strike val="0"/>
        <condense val="0"/>
        <extend val="0"/>
        <outline val="0"/>
        <shadow val="0"/>
        <u val="none"/>
        <vertAlign val="baseline"/>
        <sz val="12"/>
        <color theme="1"/>
        <name val="Calibri"/>
        <family val="2"/>
        <scheme val="minor"/>
      </font>
      <numFmt numFmtId="0" formatCode="General"/>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color theme="1"/>
      </font>
      <fill>
        <patternFill>
          <bgColor theme="2"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1"/>
      </font>
      <fill>
        <patternFill>
          <bgColor theme="2"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bgColor theme="2" tint="-0.2499465926084170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border diagonalUp="0" diagonalDown="0">
        <left/>
        <right/>
        <top style="thin">
          <color theme="8" tint="0.39997558519241921"/>
        </top>
        <bottom/>
        <vertical/>
        <horizontal/>
      </border>
    </dxf>
    <dxf>
      <border outline="0">
        <right style="thin">
          <color theme="8" tint="0.39997558519241921"/>
        </right>
      </border>
    </dxf>
    <dxf>
      <font>
        <b val="0"/>
        <i val="0"/>
        <strike val="0"/>
        <condense val="0"/>
        <extend val="0"/>
        <outline val="0"/>
        <shadow val="0"/>
        <u val="none"/>
        <vertAlign val="baseline"/>
        <sz val="12"/>
        <color theme="1"/>
        <name val="Calibri"/>
        <family val="2"/>
        <scheme val="minor"/>
      </font>
      <fill>
        <patternFill patternType="solid">
          <fgColor theme="8" tint="0.79998168889431442"/>
          <bgColor theme="8" tint="0.79998168889431442"/>
        </patternFill>
      </fill>
    </dxf>
    <dxf>
      <font>
        <b/>
        <i val="0"/>
        <strike val="0"/>
        <condense val="0"/>
        <extend val="0"/>
        <outline val="0"/>
        <shadow val="0"/>
        <u val="none"/>
        <vertAlign val="baseline"/>
        <sz val="12"/>
        <color theme="0"/>
        <name val="Calibri"/>
        <family val="2"/>
        <scheme val="minor"/>
      </font>
      <fill>
        <patternFill patternType="solid">
          <fgColor theme="8"/>
          <bgColor theme="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622300</xdr:colOff>
      <xdr:row>31</xdr:row>
      <xdr:rowOff>152400</xdr:rowOff>
    </xdr:from>
    <xdr:to>
      <xdr:col>6</xdr:col>
      <xdr:colOff>546100</xdr:colOff>
      <xdr:row>69</xdr:row>
      <xdr:rowOff>177800</xdr:rowOff>
    </xdr:to>
    <xdr:sp macro="" textlink="">
      <xdr:nvSpPr>
        <xdr:cNvPr id="2" name="TextBox 1">
          <a:extLst>
            <a:ext uri="{FF2B5EF4-FFF2-40B4-BE49-F238E27FC236}">
              <a16:creationId xmlns:a16="http://schemas.microsoft.com/office/drawing/2014/main" id="{A44ACF4E-700F-A37A-D621-EBB86283EE53}"/>
            </a:ext>
          </a:extLst>
        </xdr:cNvPr>
        <xdr:cNvSpPr txBox="1"/>
      </xdr:nvSpPr>
      <xdr:spPr>
        <a:xfrm>
          <a:off x="622300" y="7137400"/>
          <a:ext cx="9677400" cy="782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a:solidFill>
                <a:schemeClr val="dk1"/>
              </a:solidFill>
              <a:effectLst/>
              <a:latin typeface="+mn-lt"/>
              <a:ea typeface="+mn-ea"/>
              <a:cs typeface="+mn-cs"/>
            </a:rPr>
            <a:t>🎄 Secret Santa Email Generator (macOS &amp; Windows Excel)</a:t>
          </a:r>
          <a:br>
            <a:rPr lang="en-CA" sz="1100">
              <a:solidFill>
                <a:schemeClr val="dk1"/>
              </a:solidFill>
              <a:effectLst/>
              <a:latin typeface="+mn-lt"/>
              <a:ea typeface="+mn-ea"/>
              <a:cs typeface="+mn-cs"/>
            </a:rPr>
          </a:br>
          <a:endParaRPr lang="en-CA" sz="1100">
            <a:solidFill>
              <a:schemeClr val="dk1"/>
            </a:solidFill>
            <a:effectLst/>
            <a:latin typeface="+mn-lt"/>
            <a:ea typeface="+mn-ea"/>
            <a:cs typeface="+mn-cs"/>
          </a:endParaRPr>
        </a:p>
        <a:p>
          <a:r>
            <a:rPr lang="en-CA" sz="1100">
              <a:solidFill>
                <a:schemeClr val="dk1"/>
              </a:solidFill>
              <a:effectLst/>
              <a:latin typeface="+mn-lt"/>
              <a:ea typeface="+mn-ea"/>
              <a:cs typeface="+mn-cs"/>
            </a:rPr>
            <a:t>This tool lets you generate personalized Secret Santa email drafts using Excel — no programming needed. It will create an output for using at the Secret Santa Generator.</a:t>
          </a:r>
          <a:r>
            <a:rPr lang="en-CA" sz="1100" baseline="0">
              <a:solidFill>
                <a:schemeClr val="dk1"/>
              </a:solidFill>
              <a:effectLst/>
              <a:latin typeface="+mn-lt"/>
              <a:ea typeface="+mn-ea"/>
              <a:cs typeface="+mn-cs"/>
            </a:rPr>
            <a:t> On the Send Email page there is a macro that will open draft emails to all of the recipients that says (Name's) Seret Santa for (This year) and will include the link to their secret Santa as well as a custom message you can add in the text box. </a:t>
          </a:r>
          <a:endParaRPr lang="en-CA" sz="1100">
            <a:solidFill>
              <a:schemeClr val="dk1"/>
            </a:solidFill>
            <a:effectLst/>
            <a:latin typeface="+mn-lt"/>
            <a:ea typeface="+mn-ea"/>
            <a:cs typeface="+mn-cs"/>
          </a:endParaRPr>
        </a:p>
        <a:p>
          <a:endParaRPr lang="en-CA" sz="1100">
            <a:solidFill>
              <a:schemeClr val="dk1"/>
            </a:solidFill>
            <a:effectLst/>
            <a:latin typeface="+mn-lt"/>
            <a:ea typeface="+mn-ea"/>
            <a:cs typeface="+mn-cs"/>
          </a:endParaRPr>
        </a:p>
        <a:p>
          <a:r>
            <a:rPr lang="en-CA" sz="1100" b="1">
              <a:solidFill>
                <a:schemeClr val="dk1"/>
              </a:solidFill>
              <a:effectLst/>
              <a:latin typeface="+mn-lt"/>
              <a:ea typeface="+mn-ea"/>
              <a:cs typeface="+mn-cs"/>
            </a:rPr>
            <a:t>📋 What to Do:</a:t>
          </a:r>
        </a:p>
        <a:p>
          <a:r>
            <a:rPr lang="en-CA" sz="1100" b="0">
              <a:solidFill>
                <a:schemeClr val="dk1"/>
              </a:solidFill>
              <a:effectLst/>
              <a:latin typeface="+mn-lt"/>
              <a:ea typeface="+mn-ea"/>
              <a:cs typeface="+mn-cs"/>
            </a:rPr>
            <a:t>Fill in the </a:t>
          </a:r>
          <a:r>
            <a:rPr lang="en-CA" sz="1100" b="1">
              <a:solidFill>
                <a:schemeClr val="dk1"/>
              </a:solidFill>
              <a:effectLst/>
              <a:latin typeface="+mn-lt"/>
              <a:ea typeface="+mn-ea"/>
              <a:cs typeface="+mn-cs"/>
            </a:rPr>
            <a:t>Category</a:t>
          </a:r>
          <a:r>
            <a:rPr lang="en-CA" sz="1100" b="1" baseline="0">
              <a:solidFill>
                <a:schemeClr val="dk1"/>
              </a:solidFill>
              <a:effectLst/>
              <a:latin typeface="+mn-lt"/>
              <a:ea typeface="+mn-ea"/>
              <a:cs typeface="+mn-cs"/>
            </a:rPr>
            <a:t> </a:t>
          </a:r>
          <a:r>
            <a:rPr lang="en-CA" sz="1100" b="0" baseline="0">
              <a:solidFill>
                <a:schemeClr val="dk1"/>
              </a:solidFill>
              <a:effectLst/>
              <a:latin typeface="+mn-lt"/>
              <a:ea typeface="+mn-ea"/>
              <a:cs typeface="+mn-cs"/>
            </a:rPr>
            <a:t>column if you want to filter by different groups</a:t>
          </a:r>
        </a:p>
        <a:p>
          <a:r>
            <a:rPr lang="en-CA" sz="1100" b="0" baseline="0">
              <a:solidFill>
                <a:schemeClr val="dk1"/>
              </a:solidFill>
              <a:effectLst/>
              <a:latin typeface="+mn-lt"/>
              <a:ea typeface="+mn-ea"/>
              <a:cs typeface="+mn-cs"/>
            </a:rPr>
            <a:t>Fill in the </a:t>
          </a:r>
          <a:r>
            <a:rPr lang="en-CA" sz="1100" b="1" baseline="0">
              <a:solidFill>
                <a:schemeClr val="dk1"/>
              </a:solidFill>
              <a:effectLst/>
              <a:latin typeface="+mn-lt"/>
              <a:ea typeface="+mn-ea"/>
              <a:cs typeface="+mn-cs"/>
            </a:rPr>
            <a:t>Buyer</a:t>
          </a:r>
          <a:r>
            <a:rPr lang="en-CA" sz="1100" b="0" baseline="0">
              <a:solidFill>
                <a:schemeClr val="dk1"/>
              </a:solidFill>
              <a:effectLst/>
              <a:latin typeface="+mn-lt"/>
              <a:ea typeface="+mn-ea"/>
              <a:cs typeface="+mn-cs"/>
            </a:rPr>
            <a:t> column</a:t>
          </a:r>
        </a:p>
        <a:p>
          <a:r>
            <a:rPr lang="en-CA" sz="1100" b="0" baseline="0">
              <a:solidFill>
                <a:schemeClr val="dk1"/>
              </a:solidFill>
              <a:effectLst/>
              <a:latin typeface="+mn-lt"/>
              <a:ea typeface="+mn-ea"/>
              <a:cs typeface="+mn-cs"/>
            </a:rPr>
            <a:t>Fill in the </a:t>
          </a:r>
          <a:r>
            <a:rPr lang="en-CA" sz="1100" b="1" baseline="0">
              <a:solidFill>
                <a:schemeClr val="dk1"/>
              </a:solidFill>
              <a:effectLst/>
              <a:latin typeface="+mn-lt"/>
              <a:ea typeface="+mn-ea"/>
              <a:cs typeface="+mn-cs"/>
            </a:rPr>
            <a:t>Permanent Exclusions</a:t>
          </a:r>
          <a:r>
            <a:rPr lang="en-CA" sz="1100" b="0" baseline="0">
              <a:solidFill>
                <a:schemeClr val="dk1"/>
              </a:solidFill>
              <a:effectLst/>
              <a:latin typeface="+mn-lt"/>
              <a:ea typeface="+mn-ea"/>
              <a:cs typeface="+mn-cs"/>
            </a:rPr>
            <a:t> columns on the right of the table.</a:t>
          </a:r>
        </a:p>
        <a:p>
          <a:r>
            <a:rPr lang="en-CA" sz="1100" b="1">
              <a:solidFill>
                <a:schemeClr val="dk1"/>
              </a:solidFill>
              <a:effectLst/>
              <a:latin typeface="+mn-lt"/>
              <a:ea typeface="+mn-ea"/>
              <a:cs typeface="+mn-cs"/>
            </a:rPr>
            <a:t>Set the year</a:t>
          </a:r>
          <a:r>
            <a:rPr lang="en-CA" sz="1100">
              <a:solidFill>
                <a:schemeClr val="dk1"/>
              </a:solidFill>
              <a:effectLst/>
              <a:latin typeface="+mn-lt"/>
              <a:ea typeface="+mn-ea"/>
              <a:cs typeface="+mn-cs"/>
            </a:rPr>
            <a:t> in the Secret Santa sheet (named cell This_Year)</a:t>
          </a:r>
        </a:p>
        <a:p>
          <a:r>
            <a:rPr lang="en-CA" sz="1100">
              <a:solidFill>
                <a:schemeClr val="dk1"/>
              </a:solidFill>
              <a:effectLst/>
              <a:latin typeface="+mn-lt"/>
              <a:ea typeface="+mn-ea"/>
              <a:cs typeface="+mn-cs"/>
            </a:rPr>
            <a:t>Define </a:t>
          </a:r>
          <a:r>
            <a:rPr lang="en-CA" sz="1100" b="1">
              <a:solidFill>
                <a:schemeClr val="dk1"/>
              </a:solidFill>
              <a:effectLst/>
              <a:latin typeface="+mn-lt"/>
              <a:ea typeface="+mn-ea"/>
              <a:cs typeface="+mn-cs"/>
            </a:rPr>
            <a:t>how many years to look back </a:t>
          </a:r>
          <a:r>
            <a:rPr lang="en-CA" sz="1100">
              <a:solidFill>
                <a:schemeClr val="dk1"/>
              </a:solidFill>
              <a:effectLst/>
              <a:latin typeface="+mn-lt"/>
              <a:ea typeface="+mn-ea"/>
              <a:cs typeface="+mn-cs"/>
            </a:rPr>
            <a:t>(to avoid having repeats each year)</a:t>
          </a:r>
          <a:br>
            <a:rPr lang="en-CA" sz="1100">
              <a:solidFill>
                <a:schemeClr val="dk1"/>
              </a:solidFill>
              <a:effectLst/>
              <a:latin typeface="+mn-lt"/>
              <a:ea typeface="+mn-ea"/>
              <a:cs typeface="+mn-cs"/>
            </a:rPr>
          </a:br>
          <a:r>
            <a:rPr lang="en-CA" sz="1100">
              <a:solidFill>
                <a:schemeClr val="dk1"/>
              </a:solidFill>
              <a:effectLst/>
              <a:latin typeface="+mn-lt"/>
              <a:ea typeface="+mn-ea"/>
              <a:cs typeface="+mn-cs"/>
            </a:rPr>
            <a:t>Write </a:t>
          </a:r>
          <a:r>
            <a:rPr lang="en-CA" sz="1100" b="1">
              <a:solidFill>
                <a:schemeClr val="dk1"/>
              </a:solidFill>
              <a:effectLst/>
              <a:latin typeface="+mn-lt"/>
              <a:ea typeface="+mn-ea"/>
              <a:cs typeface="+mn-cs"/>
            </a:rPr>
            <a:t>"Yes" or "No"</a:t>
          </a:r>
          <a:r>
            <a:rPr lang="en-CA" sz="1100" baseline="0">
              <a:solidFill>
                <a:schemeClr val="dk1"/>
              </a:solidFill>
              <a:effectLst/>
              <a:latin typeface="+mn-lt"/>
              <a:ea typeface="+mn-ea"/>
              <a:cs typeface="+mn-cs"/>
            </a:rPr>
            <a:t> in the column for this year to denote if they are participating this year and that will populate the Send Email sheet and exlude people's names from the output if they are not participating this year</a:t>
          </a:r>
          <a:endParaRPr lang="en-CA" sz="1100">
            <a:solidFill>
              <a:schemeClr val="dk1"/>
            </a:solidFill>
            <a:effectLst/>
            <a:latin typeface="+mn-lt"/>
            <a:ea typeface="+mn-ea"/>
            <a:cs typeface="+mn-cs"/>
          </a:endParaRPr>
        </a:p>
        <a:p>
          <a:r>
            <a:rPr lang="en-CA" sz="1100">
              <a:solidFill>
                <a:schemeClr val="dk1"/>
              </a:solidFill>
              <a:effectLst/>
              <a:latin typeface="+mn-lt"/>
              <a:ea typeface="+mn-ea"/>
              <a:cs typeface="+mn-cs"/>
            </a:rPr>
            <a:t>Use the </a:t>
          </a:r>
          <a:r>
            <a:rPr lang="en-CA" sz="1100" b="1">
              <a:solidFill>
                <a:schemeClr val="dk1"/>
              </a:solidFill>
              <a:effectLst/>
              <a:latin typeface="+mn-lt"/>
              <a:ea typeface="+mn-ea"/>
              <a:cs typeface="+mn-cs"/>
            </a:rPr>
            <a:t>text box on the Send Email Sheet</a:t>
          </a:r>
          <a:r>
            <a:rPr lang="en-CA" sz="1100">
              <a:solidFill>
                <a:schemeClr val="dk1"/>
              </a:solidFill>
              <a:effectLst/>
              <a:latin typeface="+mn-lt"/>
              <a:ea typeface="+mn-ea"/>
              <a:cs typeface="+mn-cs"/>
            </a:rPr>
            <a:t> to include any group-wide notes, rules, or gift ideas.</a:t>
          </a:r>
          <a:br>
            <a:rPr lang="en-CA" sz="1100">
              <a:solidFill>
                <a:schemeClr val="dk1"/>
              </a:solidFill>
              <a:effectLst/>
              <a:latin typeface="+mn-lt"/>
              <a:ea typeface="+mn-ea"/>
              <a:cs typeface="+mn-cs"/>
            </a:rPr>
          </a:br>
          <a:r>
            <a:rPr lang="en-CA" sz="1100">
              <a:solidFill>
                <a:schemeClr val="dk1"/>
              </a:solidFill>
              <a:effectLst/>
              <a:latin typeface="+mn-lt"/>
              <a:ea typeface="+mn-ea"/>
              <a:cs typeface="+mn-cs"/>
            </a:rPr>
            <a:t>Copy the </a:t>
          </a:r>
          <a:r>
            <a:rPr lang="en-CA" sz="1100" b="1">
              <a:solidFill>
                <a:schemeClr val="dk1"/>
              </a:solidFill>
              <a:effectLst/>
              <a:latin typeface="+mn-lt"/>
              <a:ea typeface="+mn-ea"/>
              <a:cs typeface="+mn-cs"/>
            </a:rPr>
            <a:t>Output</a:t>
          </a:r>
          <a:r>
            <a:rPr lang="en-CA" sz="1100" b="0">
              <a:solidFill>
                <a:schemeClr val="dk1"/>
              </a:solidFill>
              <a:effectLst/>
              <a:latin typeface="+mn-lt"/>
              <a:ea typeface="+mn-ea"/>
              <a:cs typeface="+mn-cs"/>
            </a:rPr>
            <a:t> column from the </a:t>
          </a:r>
          <a:r>
            <a:rPr lang="en-CA" sz="1100" b="1">
              <a:solidFill>
                <a:schemeClr val="dk1"/>
              </a:solidFill>
              <a:effectLst/>
              <a:latin typeface="+mn-lt"/>
              <a:ea typeface="+mn-ea"/>
              <a:cs typeface="+mn-cs"/>
            </a:rPr>
            <a:t>Send Email</a:t>
          </a:r>
          <a:r>
            <a:rPr lang="en-CA" sz="1100" b="0">
              <a:solidFill>
                <a:schemeClr val="dk1"/>
              </a:solidFill>
              <a:effectLst/>
              <a:latin typeface="+mn-lt"/>
              <a:ea typeface="+mn-ea"/>
              <a:cs typeface="+mn-cs"/>
            </a:rPr>
            <a:t> sheet and paste it into</a:t>
          </a:r>
          <a:r>
            <a:rPr lang="en-CA" sz="1100" b="0" baseline="0">
              <a:solidFill>
                <a:schemeClr val="dk1"/>
              </a:solidFill>
              <a:effectLst/>
              <a:latin typeface="+mn-lt"/>
              <a:ea typeface="+mn-ea"/>
              <a:cs typeface="+mn-cs"/>
            </a:rPr>
            <a:t> the secrete Santa generator which has an option for a text input instead of writing each name.</a:t>
          </a:r>
          <a:br>
            <a:rPr lang="en-CA" sz="1100" b="0" baseline="0">
              <a:solidFill>
                <a:schemeClr val="dk1"/>
              </a:solidFill>
              <a:effectLst/>
              <a:latin typeface="+mn-lt"/>
              <a:ea typeface="+mn-ea"/>
              <a:cs typeface="+mn-cs"/>
            </a:rPr>
          </a:br>
          <a:r>
            <a:rPr lang="en-CA" sz="1100" b="0" baseline="0">
              <a:solidFill>
                <a:schemeClr val="dk1"/>
              </a:solidFill>
              <a:effectLst/>
              <a:latin typeface="+mn-lt"/>
              <a:ea typeface="+mn-ea"/>
              <a:cs typeface="+mn-cs"/>
            </a:rPr>
            <a:t>Generate the links and then copy and paste the links into the </a:t>
          </a:r>
          <a:r>
            <a:rPr lang="en-CA" sz="1100" b="1" baseline="0">
              <a:solidFill>
                <a:schemeClr val="dk1"/>
              </a:solidFill>
              <a:effectLst/>
              <a:latin typeface="+mn-lt"/>
              <a:ea typeface="+mn-ea"/>
              <a:cs typeface="+mn-cs"/>
            </a:rPr>
            <a:t>Link</a:t>
          </a:r>
          <a:r>
            <a:rPr lang="en-CA" sz="1100" b="0" baseline="0">
              <a:solidFill>
                <a:schemeClr val="dk1"/>
              </a:solidFill>
              <a:effectLst/>
              <a:latin typeface="+mn-lt"/>
              <a:ea typeface="+mn-ea"/>
              <a:cs typeface="+mn-cs"/>
            </a:rPr>
            <a:t> column in the </a:t>
          </a:r>
          <a:r>
            <a:rPr lang="en-CA" sz="1100" b="1" baseline="0">
              <a:solidFill>
                <a:schemeClr val="dk1"/>
              </a:solidFill>
              <a:effectLst/>
              <a:latin typeface="+mn-lt"/>
              <a:ea typeface="+mn-ea"/>
              <a:cs typeface="+mn-cs"/>
            </a:rPr>
            <a:t>Send Email</a:t>
          </a:r>
          <a:r>
            <a:rPr lang="en-CA" sz="1100" b="0" baseline="0">
              <a:solidFill>
                <a:schemeClr val="dk1"/>
              </a:solidFill>
              <a:effectLst/>
              <a:latin typeface="+mn-lt"/>
              <a:ea typeface="+mn-ea"/>
              <a:cs typeface="+mn-cs"/>
            </a:rPr>
            <a:t> sheet.  </a:t>
          </a:r>
          <a:r>
            <a:rPr lang="en-CA" sz="1100">
              <a:solidFill>
                <a:schemeClr val="dk1"/>
              </a:solidFill>
              <a:effectLst/>
              <a:latin typeface="+mn-lt"/>
              <a:ea typeface="+mn-ea"/>
              <a:cs typeface="+mn-cs"/>
            </a:rPr>
            <a:t>⚠️</a:t>
          </a:r>
          <a:r>
            <a:rPr lang="en-CA" sz="1100" b="1" baseline="0">
              <a:solidFill>
                <a:schemeClr val="dk1"/>
              </a:solidFill>
              <a:effectLst/>
              <a:latin typeface="+mn-lt"/>
              <a:ea typeface="+mn-ea"/>
              <a:cs typeface="+mn-cs"/>
            </a:rPr>
            <a:t>WARNING: THE OUTPUT FROM THE WEBSITE IS IN ALPHABETICAL ORDER</a:t>
          </a:r>
          <a:endParaRPr lang="en-CA" sz="1100" b="1">
            <a:solidFill>
              <a:schemeClr val="dk1"/>
            </a:solidFill>
            <a:effectLst/>
            <a:latin typeface="+mn-lt"/>
            <a:ea typeface="+mn-ea"/>
            <a:cs typeface="+mn-cs"/>
          </a:endParaRPr>
        </a:p>
        <a:p>
          <a:r>
            <a:rPr lang="en-CA" sz="1100" b="1">
              <a:solidFill>
                <a:schemeClr val="dk1"/>
              </a:solidFill>
              <a:effectLst/>
              <a:latin typeface="+mn-lt"/>
              <a:ea typeface="+mn-ea"/>
              <a:cs typeface="+mn-cs"/>
            </a:rPr>
            <a:t>Run the macro:</a:t>
          </a:r>
          <a:endParaRPr lang="en-CA" sz="1100">
            <a:solidFill>
              <a:schemeClr val="dk1"/>
            </a:solidFill>
            <a:effectLst/>
            <a:latin typeface="+mn-lt"/>
            <a:ea typeface="+mn-ea"/>
            <a:cs typeface="+mn-cs"/>
          </a:endParaRPr>
        </a:p>
        <a:p>
          <a:r>
            <a:rPr lang="en-CA" sz="1100">
              <a:solidFill>
                <a:schemeClr val="dk1"/>
              </a:solidFill>
              <a:effectLst/>
              <a:latin typeface="+mn-lt"/>
              <a:ea typeface="+mn-ea"/>
              <a:cs typeface="+mn-cs"/>
            </a:rPr>
            <a:t>Press Alt + F8, select EmailLinks, and click </a:t>
          </a:r>
          <a:r>
            <a:rPr lang="en-CA" sz="1100" b="1">
              <a:solidFill>
                <a:schemeClr val="dk1"/>
              </a:solidFill>
              <a:effectLst/>
              <a:latin typeface="+mn-lt"/>
              <a:ea typeface="+mn-ea"/>
              <a:cs typeface="+mn-cs"/>
            </a:rPr>
            <a:t>Run</a:t>
          </a:r>
          <a:endParaRPr lang="en-CA" sz="1100">
            <a:solidFill>
              <a:schemeClr val="dk1"/>
            </a:solidFill>
            <a:effectLst/>
            <a:latin typeface="+mn-lt"/>
            <a:ea typeface="+mn-ea"/>
            <a:cs typeface="+mn-cs"/>
          </a:endParaRPr>
        </a:p>
        <a:p>
          <a:r>
            <a:rPr lang="en-CA" sz="1100">
              <a:solidFill>
                <a:schemeClr val="dk1"/>
              </a:solidFill>
              <a:effectLst/>
              <a:latin typeface="+mn-lt"/>
              <a:ea typeface="+mn-ea"/>
              <a:cs typeface="+mn-cs"/>
            </a:rPr>
            <a:t>Or use the “Send Emails” button</a:t>
          </a:r>
        </a:p>
        <a:p>
          <a:r>
            <a:rPr lang="en-CA" sz="1100">
              <a:solidFill>
                <a:schemeClr val="dk1"/>
              </a:solidFill>
              <a:effectLst/>
              <a:latin typeface="+mn-lt"/>
              <a:ea typeface="+mn-ea"/>
              <a:cs typeface="+mn-cs"/>
            </a:rPr>
            <a:t>✅ Your default email app (e.g., Outlook, eM Client, Apple Mail) will open </a:t>
          </a:r>
          <a:r>
            <a:rPr lang="en-CA" sz="1100" b="1">
              <a:solidFill>
                <a:schemeClr val="dk1"/>
              </a:solidFill>
              <a:effectLst/>
              <a:latin typeface="+mn-lt"/>
              <a:ea typeface="+mn-ea"/>
              <a:cs typeface="+mn-cs"/>
            </a:rPr>
            <a:t>a pre-filled draft for each recipient</a:t>
          </a:r>
          <a:r>
            <a:rPr lang="en-CA" sz="1100">
              <a:solidFill>
                <a:schemeClr val="dk1"/>
              </a:solidFill>
              <a:effectLst/>
              <a:latin typeface="+mn-lt"/>
              <a:ea typeface="+mn-ea"/>
              <a:cs typeface="+mn-cs"/>
            </a:rPr>
            <a:t>.</a:t>
          </a:r>
        </a:p>
        <a:p>
          <a:r>
            <a:rPr lang="en-CA" sz="1100">
              <a:solidFill>
                <a:schemeClr val="dk1"/>
              </a:solidFill>
              <a:effectLst/>
              <a:latin typeface="+mn-lt"/>
              <a:ea typeface="+mn-ea"/>
              <a:cs typeface="+mn-cs"/>
            </a:rPr>
            <a:t>Subject line and body are automatically personalized.</a:t>
          </a:r>
        </a:p>
        <a:p>
          <a:r>
            <a:rPr lang="en-CA" sz="1100">
              <a:solidFill>
                <a:schemeClr val="dk1"/>
              </a:solidFill>
              <a:effectLst/>
              <a:latin typeface="+mn-lt"/>
              <a:ea typeface="+mn-ea"/>
              <a:cs typeface="+mn-cs"/>
            </a:rPr>
            <a:t>In my email client, I need to press return after the link to turn it into a hyperlink</a:t>
          </a:r>
          <a:br>
            <a:rPr lang="en-CA" sz="1100">
              <a:solidFill>
                <a:schemeClr val="dk1"/>
              </a:solidFill>
              <a:effectLst/>
              <a:latin typeface="+mn-lt"/>
              <a:ea typeface="+mn-ea"/>
              <a:cs typeface="+mn-cs"/>
            </a:rPr>
          </a:br>
          <a:br>
            <a:rPr lang="en-CA" sz="1100">
              <a:solidFill>
                <a:schemeClr val="dk1"/>
              </a:solidFill>
              <a:effectLst/>
              <a:latin typeface="+mn-lt"/>
              <a:ea typeface="+mn-ea"/>
              <a:cs typeface="+mn-cs"/>
            </a:rPr>
          </a:br>
          <a:r>
            <a:rPr lang="en-CA" sz="1100">
              <a:solidFill>
                <a:schemeClr val="dk1"/>
              </a:solidFill>
              <a:effectLst/>
              <a:latin typeface="+mn-lt"/>
              <a:ea typeface="+mn-ea"/>
              <a:cs typeface="+mn-cs"/>
            </a:rPr>
            <a:t>Next Year,</a:t>
          </a:r>
          <a:r>
            <a:rPr lang="en-CA" sz="1100" baseline="0">
              <a:solidFill>
                <a:schemeClr val="dk1"/>
              </a:solidFill>
              <a:effectLst/>
              <a:latin typeface="+mn-lt"/>
              <a:ea typeface="+mn-ea"/>
              <a:cs typeface="+mn-cs"/>
            </a:rPr>
            <a:t> follow the links to find out who each person had and replace the </a:t>
          </a:r>
          <a:r>
            <a:rPr lang="en-CA" sz="1100" b="1" baseline="0">
              <a:solidFill>
                <a:schemeClr val="dk1"/>
              </a:solidFill>
              <a:effectLst/>
              <a:latin typeface="+mn-lt"/>
              <a:ea typeface="+mn-ea"/>
              <a:cs typeface="+mn-cs"/>
            </a:rPr>
            <a:t>"Yes"</a:t>
          </a:r>
          <a:r>
            <a:rPr lang="en-CA" sz="1100" b="0" baseline="0">
              <a:solidFill>
                <a:schemeClr val="dk1"/>
              </a:solidFill>
              <a:effectLst/>
              <a:latin typeface="+mn-lt"/>
              <a:ea typeface="+mn-ea"/>
              <a:cs typeface="+mn-cs"/>
            </a:rPr>
            <a:t> with the name of who they had. delete all of the "No" text so that it doesn't show up in the output. just leave that cell blank.</a:t>
          </a:r>
          <a:br>
            <a:rPr lang="en-CA">
              <a:effectLst/>
            </a:rPr>
          </a:br>
          <a:endParaRPr lang="en-CA">
            <a:effectLst/>
          </a:endParaRPr>
        </a:p>
        <a:p>
          <a:r>
            <a:rPr lang="en-CA" sz="1100">
              <a:solidFill>
                <a:schemeClr val="dk1"/>
              </a:solidFill>
              <a:effectLst/>
              <a:latin typeface="+mn-lt"/>
              <a:ea typeface="+mn-ea"/>
              <a:cs typeface="+mn-cs"/>
            </a:rPr>
            <a:t>⚠️ </a:t>
          </a:r>
          <a:r>
            <a:rPr lang="en-CA" sz="1100" b="1">
              <a:solidFill>
                <a:schemeClr val="dk1"/>
              </a:solidFill>
              <a:effectLst/>
              <a:latin typeface="+mn-lt"/>
              <a:ea typeface="+mn-ea"/>
              <a:cs typeface="+mn-cs"/>
            </a:rPr>
            <a:t>Notes:</a:t>
          </a:r>
          <a:endParaRPr lang="en-CA" sz="1100">
            <a:solidFill>
              <a:schemeClr val="dk1"/>
            </a:solidFill>
            <a:effectLst/>
            <a:latin typeface="+mn-lt"/>
            <a:ea typeface="+mn-ea"/>
            <a:cs typeface="+mn-cs"/>
          </a:endParaRPr>
        </a:p>
        <a:p>
          <a:r>
            <a:rPr lang="en-CA" sz="1100">
              <a:solidFill>
                <a:schemeClr val="dk1"/>
              </a:solidFill>
              <a:effectLst/>
              <a:latin typeface="+mn-lt"/>
              <a:ea typeface="+mn-ea"/>
              <a:cs typeface="+mn-cs"/>
            </a:rPr>
            <a:t>Requires </a:t>
          </a:r>
          <a:r>
            <a:rPr lang="en-CA" sz="1100" b="1">
              <a:solidFill>
                <a:schemeClr val="dk1"/>
              </a:solidFill>
              <a:effectLst/>
              <a:latin typeface="+mn-lt"/>
              <a:ea typeface="+mn-ea"/>
              <a:cs typeface="+mn-cs"/>
            </a:rPr>
            <a:t>Excel 365</a:t>
          </a:r>
          <a:r>
            <a:rPr lang="en-CA" sz="1100">
              <a:solidFill>
                <a:schemeClr val="dk1"/>
              </a:solidFill>
              <a:effectLst/>
              <a:latin typeface="+mn-lt"/>
              <a:ea typeface="+mn-ea"/>
              <a:cs typeface="+mn-cs"/>
            </a:rPr>
            <a:t> on </a:t>
          </a:r>
          <a:r>
            <a:rPr lang="en-CA" sz="1100" b="1">
              <a:solidFill>
                <a:schemeClr val="dk1"/>
              </a:solidFill>
              <a:effectLst/>
              <a:latin typeface="+mn-lt"/>
              <a:ea typeface="+mn-ea"/>
              <a:cs typeface="+mn-cs"/>
            </a:rPr>
            <a:t>macOS or Windows</a:t>
          </a:r>
          <a:endParaRPr lang="en-CA" sz="1100">
            <a:solidFill>
              <a:schemeClr val="dk1"/>
            </a:solidFill>
            <a:effectLst/>
            <a:latin typeface="+mn-lt"/>
            <a:ea typeface="+mn-ea"/>
            <a:cs typeface="+mn-cs"/>
          </a:endParaRPr>
        </a:p>
        <a:p>
          <a:r>
            <a:rPr lang="en-CA" sz="1100">
              <a:solidFill>
                <a:schemeClr val="dk1"/>
              </a:solidFill>
              <a:effectLst/>
              <a:latin typeface="+mn-lt"/>
              <a:ea typeface="+mn-ea"/>
              <a:cs typeface="+mn-cs"/>
            </a:rPr>
            <a:t>Works with any email client that supports mailto: links</a:t>
          </a:r>
        </a:p>
        <a:p>
          <a:r>
            <a:rPr lang="en-CA" sz="1100">
              <a:solidFill>
                <a:schemeClr val="dk1"/>
              </a:solidFill>
              <a:effectLst/>
              <a:latin typeface="+mn-lt"/>
              <a:ea typeface="+mn-ea"/>
              <a:cs typeface="+mn-cs"/>
            </a:rPr>
            <a:t>Long messages may be truncated — keep it short for best results</a:t>
          </a:r>
        </a:p>
        <a:p>
          <a:r>
            <a:rPr lang="en-CA" sz="1100">
              <a:solidFill>
                <a:schemeClr val="dk1"/>
              </a:solidFill>
              <a:effectLst/>
              <a:latin typeface="+mn-lt"/>
              <a:ea typeface="+mn-ea"/>
              <a:cs typeface="+mn-cs"/>
            </a:rPr>
            <a:t>Your default email account will be used</a:t>
          </a:r>
        </a:p>
        <a:p>
          <a:endParaRPr lang="en-CA" sz="1100">
            <a:solidFill>
              <a:schemeClr val="dk1"/>
            </a:solidFill>
            <a:effectLst/>
            <a:latin typeface="+mn-lt"/>
            <a:ea typeface="+mn-ea"/>
            <a:cs typeface="+mn-cs"/>
          </a:endParaRPr>
        </a:p>
        <a:p>
          <a:r>
            <a:rPr lang="en-CA" sz="1100" b="1">
              <a:solidFill>
                <a:schemeClr val="dk1"/>
              </a:solidFill>
              <a:effectLst/>
              <a:latin typeface="+mn-lt"/>
              <a:ea typeface="+mn-ea"/>
              <a:cs typeface="+mn-cs"/>
            </a:rPr>
            <a:t>Conditional</a:t>
          </a:r>
          <a:r>
            <a:rPr lang="en-CA" sz="1100" b="1" baseline="0">
              <a:solidFill>
                <a:schemeClr val="dk1"/>
              </a:solidFill>
              <a:effectLst/>
              <a:latin typeface="+mn-lt"/>
              <a:ea typeface="+mn-ea"/>
              <a:cs typeface="+mn-cs"/>
            </a:rPr>
            <a:t> Formatting:</a:t>
          </a:r>
          <a:br>
            <a:rPr lang="en-CA" sz="1100" b="1" baseline="0">
              <a:solidFill>
                <a:schemeClr val="dk1"/>
              </a:solidFill>
              <a:effectLst/>
              <a:latin typeface="+mn-lt"/>
              <a:ea typeface="+mn-ea"/>
              <a:cs typeface="+mn-cs"/>
            </a:rPr>
          </a:br>
          <a:r>
            <a:rPr lang="en-CA" sz="1100" b="0" baseline="0">
              <a:solidFill>
                <a:schemeClr val="dk1"/>
              </a:solidFill>
              <a:effectLst/>
              <a:latin typeface="+mn-lt"/>
              <a:ea typeface="+mn-ea"/>
              <a:cs typeface="+mn-cs"/>
            </a:rPr>
            <a:t>row will be highlighted green if "yes" in current year</a:t>
          </a:r>
          <a:endParaRPr lang="en-CA" sz="11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solidFill>
                <a:schemeClr val="dk1"/>
              </a:solidFill>
              <a:effectLst/>
              <a:latin typeface="+mn-lt"/>
              <a:ea typeface="+mn-ea"/>
              <a:cs typeface="+mn-cs"/>
            </a:rPr>
            <a:t>row will be highlighted grey if "no" in current year</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solidFill>
                <a:schemeClr val="dk1"/>
              </a:solidFill>
              <a:effectLst/>
              <a:latin typeface="+mn-lt"/>
              <a:ea typeface="+mn-ea"/>
              <a:cs typeface="+mn-cs"/>
            </a:rPr>
            <a:t>cell will be highlighted yellow if the name doesn't appear in the list of names</a:t>
          </a:r>
        </a:p>
        <a:p>
          <a:pPr marL="0" marR="0" lvl="0" indent="0" defTabSz="914400" eaLnBrk="1" fontAlgn="auto" latinLnBrk="0" hangingPunct="1">
            <a:lnSpc>
              <a:spcPct val="100000"/>
            </a:lnSpc>
            <a:spcBef>
              <a:spcPts val="0"/>
            </a:spcBef>
            <a:spcAft>
              <a:spcPts val="0"/>
            </a:spcAft>
            <a:buClrTx/>
            <a:buSzTx/>
            <a:buFontTx/>
            <a:buNone/>
            <a:tabLst/>
            <a:defRPr/>
          </a:pPr>
          <a:r>
            <a:rPr lang="en-CA" sz="1100" b="0" baseline="0">
              <a:solidFill>
                <a:schemeClr val="dk1"/>
              </a:solidFill>
              <a:effectLst/>
              <a:latin typeface="+mn-lt"/>
              <a:ea typeface="+mn-ea"/>
              <a:cs typeface="+mn-cs"/>
            </a:rPr>
            <a:t>cell will be highlighted red if the name appears twice for that year</a:t>
          </a:r>
          <a:br>
            <a:rPr lang="en-CA">
              <a:effectLst/>
            </a:rPr>
          </a:br>
          <a:endParaRPr lang="en-CA">
            <a:effectLst/>
          </a:endParaRPr>
        </a:p>
        <a:p>
          <a:r>
            <a:rPr lang="en-CA" sz="1100">
              <a:solidFill>
                <a:schemeClr val="dk1"/>
              </a:solidFill>
              <a:effectLst/>
              <a:latin typeface="+mn-lt"/>
              <a:ea typeface="+mn-ea"/>
              <a:cs typeface="+mn-cs"/>
            </a:rPr>
            <a:t>🔒 No email is sent automatically — you can review/edit drafts before sending.</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469900</xdr:colOff>
      <xdr:row>1</xdr:row>
      <xdr:rowOff>63500</xdr:rowOff>
    </xdr:from>
    <xdr:to>
      <xdr:col>16</xdr:col>
      <xdr:colOff>393700</xdr:colOff>
      <xdr:row>3</xdr:row>
      <xdr:rowOff>127000</xdr:rowOff>
    </xdr:to>
    <xdr:sp macro="[0]!EmailLinks" textlink="">
      <xdr:nvSpPr>
        <xdr:cNvPr id="3" name="Rounded Rectangle 2">
          <a:extLst>
            <a:ext uri="{FF2B5EF4-FFF2-40B4-BE49-F238E27FC236}">
              <a16:creationId xmlns:a16="http://schemas.microsoft.com/office/drawing/2014/main" id="{34F9027C-6965-8C93-35DD-657F8009759B}"/>
            </a:ext>
          </a:extLst>
        </xdr:cNvPr>
        <xdr:cNvSpPr/>
      </xdr:nvSpPr>
      <xdr:spPr>
        <a:xfrm>
          <a:off x="12192000" y="266700"/>
          <a:ext cx="2400300" cy="469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Send Emails</a:t>
          </a:r>
        </a:p>
      </xdr:txBody>
    </xdr:sp>
    <xdr:clientData/>
  </xdr:twoCellAnchor>
  <xdr:twoCellAnchor>
    <xdr:from>
      <xdr:col>0</xdr:col>
      <xdr:colOff>584200</xdr:colOff>
      <xdr:row>13</xdr:row>
      <xdr:rowOff>177800</xdr:rowOff>
    </xdr:from>
    <xdr:to>
      <xdr:col>7</xdr:col>
      <xdr:colOff>292100</xdr:colOff>
      <xdr:row>45</xdr:row>
      <xdr:rowOff>114300</xdr:rowOff>
    </xdr:to>
    <xdr:sp macro="" textlink="">
      <xdr:nvSpPr>
        <xdr:cNvPr id="2" name="TextBox 1">
          <a:extLst>
            <a:ext uri="{FF2B5EF4-FFF2-40B4-BE49-F238E27FC236}">
              <a16:creationId xmlns:a16="http://schemas.microsoft.com/office/drawing/2014/main" id="{F52FDD26-7BCF-3940-B3A2-F7969C4D1C9B}"/>
            </a:ext>
          </a:extLst>
        </xdr:cNvPr>
        <xdr:cNvSpPr txBox="1"/>
      </xdr:nvSpPr>
      <xdr:spPr>
        <a:xfrm>
          <a:off x="584200" y="2819400"/>
          <a:ext cx="8356600" cy="6438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0" i="0" u="none" strike="noStrike">
              <a:solidFill>
                <a:schemeClr val="dk1"/>
              </a:solidFill>
              <a:effectLst/>
              <a:latin typeface="+mn-lt"/>
              <a:ea typeface="+mn-ea"/>
              <a:cs typeface="+mn-cs"/>
            </a:rPr>
            <a:t>This year's rules are a $50(ish)</a:t>
          </a:r>
          <a:r>
            <a:rPr lang="en-CA" sz="1100" b="0" i="0" u="none" strike="noStrike" baseline="0">
              <a:solidFill>
                <a:schemeClr val="dk1"/>
              </a:solidFill>
              <a:effectLst/>
              <a:latin typeface="+mn-lt"/>
              <a:ea typeface="+mn-ea"/>
              <a:cs typeface="+mn-cs"/>
            </a:rPr>
            <a:t> limit. And try to do local experiences or goods or make something yourself. No pressure, it's supposed to be fun.</a:t>
          </a:r>
          <a:br>
            <a:rPr lang="en-CA" sz="1100" b="0" i="0" u="none" strike="noStrike" baseline="0">
              <a:solidFill>
                <a:schemeClr val="dk1"/>
              </a:solidFill>
              <a:effectLst/>
              <a:latin typeface="+mn-lt"/>
              <a:ea typeface="+mn-ea"/>
              <a:cs typeface="+mn-cs"/>
            </a:rPr>
          </a:br>
          <a:endParaRPr lang="en-CA" sz="1100" b="0" i="0" u="none" strike="noStrike" baseline="0">
            <a:solidFill>
              <a:schemeClr val="dk1"/>
            </a:solidFill>
            <a:effectLst/>
            <a:latin typeface="+mn-lt"/>
            <a:ea typeface="+mn-ea"/>
            <a:cs typeface="+mn-cs"/>
          </a:endParaRPr>
        </a:p>
        <a:p>
          <a:r>
            <a:rPr lang="en-CA" sz="1100" b="0" i="0" u="none" strike="noStrike">
              <a:solidFill>
                <a:schemeClr val="dk1"/>
              </a:solidFill>
              <a:effectLst/>
              <a:latin typeface="+mn-lt"/>
              <a:ea typeface="+mn-ea"/>
              <a:cs typeface="+mn-cs"/>
            </a:rPr>
            <a:t>For next year,</a:t>
          </a:r>
          <a:r>
            <a:rPr lang="en-CA" sz="1100" b="0" i="0" u="none" strike="noStrike" baseline="0">
              <a:solidFill>
                <a:schemeClr val="dk1"/>
              </a:solidFill>
              <a:effectLst/>
              <a:latin typeface="+mn-lt"/>
              <a:ea typeface="+mn-ea"/>
              <a:cs typeface="+mn-cs"/>
            </a:rPr>
            <a:t> do</a:t>
          </a:r>
          <a:r>
            <a:rPr lang="en-CA" sz="1100" b="0" i="0" u="none" strike="noStrike">
              <a:solidFill>
                <a:schemeClr val="dk1"/>
              </a:solidFill>
              <a:effectLst/>
              <a:latin typeface="+mn-lt"/>
              <a:ea typeface="+mn-ea"/>
              <a:cs typeface="+mn-cs"/>
            </a:rPr>
            <a:t> you have any suggestions for improvements, or what would make you more excited?</a:t>
          </a:r>
          <a:br>
            <a:rPr lang="en-CA" sz="1100" b="0" i="0" u="none" strike="noStrike">
              <a:solidFill>
                <a:schemeClr val="dk1"/>
              </a:solidFill>
              <a:effectLst/>
              <a:latin typeface="+mn-lt"/>
              <a:ea typeface="+mn-ea"/>
              <a:cs typeface="+mn-cs"/>
            </a:rPr>
          </a:br>
          <a:endParaRPr lang="en-CA" sz="1100" b="0" i="0" u="none" strike="noStrike">
            <a:solidFill>
              <a:schemeClr val="dk1"/>
            </a:solidFill>
            <a:effectLst/>
            <a:latin typeface="+mn-lt"/>
            <a:ea typeface="+mn-ea"/>
            <a:cs typeface="+mn-cs"/>
          </a:endParaRPr>
        </a:p>
        <a:p>
          <a:r>
            <a:rPr lang="en-CA" sz="1100" b="0" i="0" u="none" strike="noStrike">
              <a:solidFill>
                <a:schemeClr val="dk1"/>
              </a:solidFill>
              <a:effectLst/>
              <a:latin typeface="+mn-lt"/>
              <a:ea typeface="+mn-ea"/>
              <a:cs typeface="+mn-cs"/>
            </a:rPr>
            <a:t>Here’s some variation ideas:</a:t>
          </a:r>
        </a:p>
        <a:p>
          <a:r>
            <a:rPr lang="en-CA" sz="1100" b="1" i="0" u="none" strike="noStrike">
              <a:solidFill>
                <a:schemeClr val="dk1"/>
              </a:solidFill>
              <a:effectLst/>
              <a:latin typeface="+mn-lt"/>
              <a:ea typeface="+mn-ea"/>
              <a:cs typeface="+mn-cs"/>
            </a:rPr>
            <a:t>Side pot </a:t>
          </a:r>
          <a:r>
            <a:rPr lang="en-CA" sz="1100" b="0" i="0" u="none" strike="noStrike">
              <a:solidFill>
                <a:schemeClr val="dk1"/>
              </a:solidFill>
              <a:effectLst/>
              <a:latin typeface="+mn-lt"/>
              <a:ea typeface="+mn-ea"/>
              <a:cs typeface="+mn-cs"/>
            </a:rPr>
            <a:t>- Everyone adds an additional $5 to a pot to be drawn randomly on the day</a:t>
          </a:r>
        </a:p>
        <a:p>
          <a:r>
            <a:rPr lang="en-CA" sz="1100" b="1" i="0" u="none" strike="noStrike">
              <a:solidFill>
                <a:schemeClr val="dk1"/>
              </a:solidFill>
              <a:effectLst/>
              <a:latin typeface="+mn-lt"/>
              <a:ea typeface="+mn-ea"/>
              <a:cs typeface="+mn-cs"/>
            </a:rPr>
            <a:t>Anti-gift</a:t>
          </a:r>
          <a:r>
            <a:rPr lang="en-CA" sz="1100" b="0" i="0" u="none" strike="noStrike">
              <a:solidFill>
                <a:schemeClr val="dk1"/>
              </a:solidFill>
              <a:effectLst/>
              <a:latin typeface="+mn-lt"/>
              <a:ea typeface="+mn-ea"/>
              <a:cs typeface="+mn-cs"/>
            </a:rPr>
            <a:t> - Something odd like an ugly mug, nonsensical embroidery.</a:t>
          </a:r>
        </a:p>
        <a:p>
          <a:r>
            <a:rPr lang="en-CA" sz="1100" b="1" i="0" u="none" strike="noStrike">
              <a:solidFill>
                <a:schemeClr val="dk1"/>
              </a:solidFill>
              <a:effectLst/>
              <a:latin typeface="+mn-lt"/>
              <a:ea typeface="+mn-ea"/>
              <a:cs typeface="+mn-cs"/>
            </a:rPr>
            <a:t>Reuse and Repurpose </a:t>
          </a:r>
          <a:r>
            <a:rPr lang="en-CA" sz="1100" b="0" i="0" u="none" strike="noStrike">
              <a:solidFill>
                <a:schemeClr val="dk1"/>
              </a:solidFill>
              <a:effectLst/>
              <a:latin typeface="+mn-lt"/>
              <a:ea typeface="+mn-ea"/>
              <a:cs typeface="+mn-cs"/>
            </a:rPr>
            <a:t>- Must give or repurpose something you already own that is still somewhat desirable.</a:t>
          </a:r>
        </a:p>
        <a:p>
          <a:endParaRPr lang="en-CA" sz="1100" b="0" i="0" u="none" strike="noStrike">
            <a:solidFill>
              <a:schemeClr val="dk1"/>
            </a:solidFill>
            <a:effectLst/>
            <a:latin typeface="+mn-lt"/>
            <a:ea typeface="+mn-ea"/>
            <a:cs typeface="+mn-cs"/>
          </a:endParaRPr>
        </a:p>
        <a:p>
          <a:r>
            <a:rPr lang="en-CA" sz="1100" b="0" i="0" u="none" strike="noStrike">
              <a:solidFill>
                <a:schemeClr val="dk1"/>
              </a:solidFill>
              <a:effectLst/>
              <a:latin typeface="+mn-lt"/>
              <a:ea typeface="+mn-ea"/>
              <a:cs typeface="+mn-cs"/>
            </a:rPr>
            <a:t>Totally open to ideas too.</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740DC4D-D401-364B-A548-B59E4DEBB49D}" name="Data" displayName="Data" ref="A7:AG38" totalsRowShown="0" headerRowDxfId="52" dataDxfId="51" tableBorderDxfId="50">
  <autoFilter ref="A7:AG38" xr:uid="{E740DC4D-D401-364B-A548-B59E4DEBB49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autoFilter>
  <sortState xmlns:xlrd2="http://schemas.microsoft.com/office/spreadsheetml/2017/richdata2" ref="A8:AG38">
    <sortCondition ref="C8:C38"/>
  </sortState>
  <tableColumns count="33">
    <tableColumn id="1" xr3:uid="{8F818DC4-4050-984B-BAC5-E2448E929810}" name="Output">
      <calculatedColumnFormula>IF(NOT(Data[[#This Row],[ActiveNow]]), "",
  Data[[#This Row],[Buyer]] &amp; " !" &amp;
  Data[[#This Row],[PrevFiltered]] &amp;
  IF(AND(Data[[#This Row],[PrevFiltered]]&lt;&gt;"", Data[[#This Row],[PE_Filtered]]&lt;&gt;""), " !", "") &amp;
  Data[[#This Row],[PE_Filtered]]
)</calculatedColumnFormula>
    </tableColumn>
    <tableColumn id="3" xr3:uid="{0C8ABF14-D9FB-FF4A-9E72-FCD0F6B7FF82}" name="Contact" dataDxfId="49"/>
    <tableColumn id="4" xr3:uid="{9E5B5A95-89A2-E447-9A72-E790F31D515B}" name="Buyer" dataDxfId="48"/>
    <tableColumn id="5" xr3:uid="{07FF39CB-39CE-1C43-9355-F4CAD7671420}" name="2020" dataDxfId="47"/>
    <tableColumn id="6" xr3:uid="{8DD637CD-F6B0-6040-95DD-D22EF17C5C46}" name="2021" dataDxfId="46"/>
    <tableColumn id="7" xr3:uid="{8872EE6E-6B71-E349-A4F5-4936C85C37A9}" name="2022" dataDxfId="45"/>
    <tableColumn id="8" xr3:uid="{DC9550A1-D29D-2249-B812-931C6658FDAA}" name="2023" dataDxfId="44"/>
    <tableColumn id="9" xr3:uid="{BF3AF1C7-E1F8-064A-9986-C7B2D35DF020}" name="2024" dataDxfId="43"/>
    <tableColumn id="10" xr3:uid="{E6ABEBC1-C683-4B47-8479-F741D327042B}" name="2025" dataDxfId="42"/>
    <tableColumn id="11" xr3:uid="{49464C01-610A-6F4D-83DF-04597C79D486}" name="2026" dataDxfId="41"/>
    <tableColumn id="12" xr3:uid="{B2C623A9-F825-0E4C-9FD0-6E6521150271}" name="2027" dataDxfId="40"/>
    <tableColumn id="13" xr3:uid="{7224A99D-E263-9848-B83A-EA27ABEA480D}" name="2028" dataDxfId="39"/>
    <tableColumn id="14" xr3:uid="{BBDB4AC6-6DDF-644E-8254-3C1BAF4D0EC5}" name="2029" dataDxfId="38"/>
    <tableColumn id="15" xr3:uid="{989D2EE6-BCDC-2B45-9789-7456A6E7A3A2}" name="2030" dataDxfId="37"/>
    <tableColumn id="16" xr3:uid="{3AA40B1E-6C3C-5F4F-9819-520D83D650D2}" name="Permanent Exclusions 1" dataDxfId="36"/>
    <tableColumn id="17" xr3:uid="{192FDD6F-371B-E34C-9E6C-A41D36936306}" name="Permanent Exclusions 2" dataDxfId="35"/>
    <tableColumn id="18" xr3:uid="{1A41349D-D82B-594D-81CE-F46FD7933CC4}" name="Permanent Exclusions 3" dataDxfId="34"/>
    <tableColumn id="19" xr3:uid="{70E99DED-A871-FE46-980B-568DBBAA02D0}" name="Permanent Exclusions 4" dataDxfId="33"/>
    <tableColumn id="20" xr3:uid="{753F069E-828E-8A4D-AB0B-5FC5A1120D53}" name="Permanent Exclusions 5" dataDxfId="32"/>
    <tableColumn id="21" xr3:uid="{B6CC7ADC-1EEC-4547-A429-133E99330345}" name="Permanent Exclusions 6" dataDxfId="31"/>
    <tableColumn id="22" xr3:uid="{EA0FA642-BC5B-6247-AE22-1856AD3B4B30}" name="Permanent Exclusions 7" dataDxfId="30"/>
    <tableColumn id="23" xr3:uid="{4723A3D6-6990-8246-871C-18D2CFD758F6}" name="Permanent Exclusions 8" dataDxfId="29"/>
    <tableColumn id="24" xr3:uid="{2D1FF03E-770F-174A-BD75-C715FE492192}" name="Permanent Exclusions 9" dataDxfId="28"/>
    <tableColumn id="25" xr3:uid="{E39BC04A-8B82-A040-81B0-D86293DE870F}" name="Permanent Exclusions 10" dataDxfId="3"/>
    <tableColumn id="26" xr3:uid="{4C8B9BB8-0051-2747-A03A-46D74A4CAB98}" name="ActiveNow" dataDxfId="2">
      <calculatedColumnFormula array="1">_xlfn.LET(
  _xlpm.y, MATCH(TEXT(This_Year,"0"), Data[#Headers], 0),
  LOWER(_xlfn.XLOOKUP(Data[[#This Row],[Buyer]], Data[Buyer], _xlfn.CHOOSECOLS(Data[], _xlpm.y), ""))&lt;&gt;"no"
)</calculatedColumnFormula>
    </tableColumn>
    <tableColumn id="27" xr3:uid="{7C548A8C-787F-F54E-9692-6FEBBA3BE757}" name="PrevFiltered" dataDxfId="1">
      <calculatedColumnFormula array="1">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calculatedColumnFormula>
    </tableColumn>
    <tableColumn id="28" xr3:uid="{A25BCDAC-2755-FC41-9AAF-10AF9E6CE797}" name="PE_Filtered" dataDxfId="0">
      <calculatedColumnFormula array="1">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calculatedColumnFormula>
    </tableColumn>
    <tableColumn id="29" xr3:uid="{A0FB9238-1D33-F64E-A2A5-0172707DF830}" name="Column14" dataDxfId="27"/>
    <tableColumn id="30" xr3:uid="{799F28FD-3A1B-6540-B00E-F50A2D0200D9}" name="Column15" dataDxfId="26"/>
    <tableColumn id="31" xr3:uid="{C03322DB-342C-3B4D-84C7-F3089604933D}" name="Column16" dataDxfId="25"/>
    <tableColumn id="32" xr3:uid="{81ADA840-D209-9246-B35C-CA72223849DE}" name="Column17" dataDxfId="24"/>
    <tableColumn id="33" xr3:uid="{2C4189DE-53C0-B848-8DBD-07FB645632ED}" name="Column18" dataDxfId="23"/>
    <tableColumn id="34" xr3:uid="{662801BB-BFBF-1446-9F9B-CD2F12E2EC2D}" name="Column19" dataDxfId="2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mailto:byerex@gmail.com" TargetMode="External"/><Relationship Id="rId7" Type="http://schemas.openxmlformats.org/officeDocument/2006/relationships/drawing" Target="../drawings/drawing1.xml"/><Relationship Id="rId2" Type="http://schemas.openxmlformats.org/officeDocument/2006/relationships/hyperlink" Target="https://arcanis.github.io/secretsanta/" TargetMode="External"/><Relationship Id="rId1" Type="http://schemas.openxmlformats.org/officeDocument/2006/relationships/hyperlink" Target="mailto:rick_clark@telus.net" TargetMode="External"/><Relationship Id="rId6" Type="http://schemas.openxmlformats.org/officeDocument/2006/relationships/hyperlink" Target="mailto:andyjgrant1@gmail.com" TargetMode="External"/><Relationship Id="rId5" Type="http://schemas.openxmlformats.org/officeDocument/2006/relationships/hyperlink" Target="mailto:landonbrae@gmail.com" TargetMode="External"/><Relationship Id="rId4" Type="http://schemas.openxmlformats.org/officeDocument/2006/relationships/hyperlink" Target="mailto:yerexkaylan@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mael.dev/secretsanta/pairing?from=Adult7&amp;to=HP1CRJCbNVi6CfjPr2xZY7Iqw9PuDu6lHLwPmXG1TZNBJg%3D%3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822A0-6DE4-1E41-AE18-7CC7CD24769F}">
  <sheetPr codeName="Sheet1"/>
  <dimension ref="A2:AG67"/>
  <sheetViews>
    <sheetView tabSelected="1" workbookViewId="0">
      <selection activeCell="A18" sqref="A18"/>
    </sheetView>
  </sheetViews>
  <sheetFormatPr baseColWidth="10" defaultRowHeight="16" x14ac:dyDescent="0.2"/>
  <cols>
    <col min="1" max="1" width="61.83203125" customWidth="1"/>
    <col min="3" max="3" width="22.83203125" customWidth="1"/>
    <col min="16" max="16" width="21.5" customWidth="1"/>
    <col min="25" max="34" width="11.6640625" customWidth="1"/>
  </cols>
  <sheetData>
    <row r="2" spans="1:33" x14ac:dyDescent="0.2">
      <c r="A2" t="s">
        <v>2</v>
      </c>
      <c r="B2" s="1" t="s">
        <v>3</v>
      </c>
    </row>
    <row r="3" spans="1:33" x14ac:dyDescent="0.2">
      <c r="A3" t="s">
        <v>22</v>
      </c>
      <c r="B3">
        <v>2025</v>
      </c>
    </row>
    <row r="4" spans="1:33" x14ac:dyDescent="0.2">
      <c r="A4" t="s">
        <v>23</v>
      </c>
      <c r="B4">
        <v>3</v>
      </c>
    </row>
    <row r="5" spans="1:33" x14ac:dyDescent="0.2">
      <c r="A5" t="s">
        <v>66</v>
      </c>
    </row>
    <row r="6" spans="1:33" x14ac:dyDescent="0.2">
      <c r="E6" t="s">
        <v>0</v>
      </c>
      <c r="F6" t="s">
        <v>0</v>
      </c>
      <c r="G6" t="s">
        <v>0</v>
      </c>
      <c r="H6" t="s">
        <v>0</v>
      </c>
      <c r="I6" t="s">
        <v>0</v>
      </c>
      <c r="J6" t="s">
        <v>0</v>
      </c>
      <c r="K6" t="s">
        <v>0</v>
      </c>
      <c r="L6" t="s">
        <v>0</v>
      </c>
      <c r="M6" t="s">
        <v>0</v>
      </c>
      <c r="N6" t="s">
        <v>0</v>
      </c>
      <c r="O6" t="s">
        <v>0</v>
      </c>
      <c r="Y6" s="12" t="s">
        <v>71</v>
      </c>
      <c r="Z6" s="12" t="s">
        <v>71</v>
      </c>
      <c r="AA6" s="12" t="s">
        <v>71</v>
      </c>
    </row>
    <row r="7" spans="1:33" x14ac:dyDescent="0.2">
      <c r="A7" t="s">
        <v>21</v>
      </c>
      <c r="B7" s="4" t="s">
        <v>1</v>
      </c>
      <c r="C7" s="4" t="s">
        <v>24</v>
      </c>
      <c r="D7" s="4" t="s">
        <v>4</v>
      </c>
      <c r="E7" s="4" t="s">
        <v>5</v>
      </c>
      <c r="F7" s="4" t="s">
        <v>6</v>
      </c>
      <c r="G7" s="4" t="s">
        <v>7</v>
      </c>
      <c r="H7" s="4" t="s">
        <v>8</v>
      </c>
      <c r="I7" s="4" t="s">
        <v>9</v>
      </c>
      <c r="J7" s="4" t="s">
        <v>10</v>
      </c>
      <c r="K7" s="4" t="s">
        <v>11</v>
      </c>
      <c r="L7" s="4" t="s">
        <v>12</v>
      </c>
      <c r="M7" s="4" t="s">
        <v>13</v>
      </c>
      <c r="N7" s="4" t="s">
        <v>14</v>
      </c>
      <c r="O7" s="4" t="s">
        <v>28</v>
      </c>
      <c r="P7" s="4" t="s">
        <v>29</v>
      </c>
      <c r="Q7" s="4" t="s">
        <v>30</v>
      </c>
      <c r="R7" s="4" t="s">
        <v>31</v>
      </c>
      <c r="S7" s="4" t="s">
        <v>32</v>
      </c>
      <c r="T7" s="4" t="s">
        <v>33</v>
      </c>
      <c r="U7" s="4" t="s">
        <v>34</v>
      </c>
      <c r="V7" s="4" t="s">
        <v>35</v>
      </c>
      <c r="W7" s="4" t="s">
        <v>36</v>
      </c>
      <c r="X7" s="4" t="s">
        <v>70</v>
      </c>
      <c r="Y7" s="13" t="s">
        <v>67</v>
      </c>
      <c r="Z7" s="13" t="s">
        <v>68</v>
      </c>
      <c r="AA7" s="13" t="s">
        <v>69</v>
      </c>
      <c r="AB7" s="4" t="s">
        <v>15</v>
      </c>
      <c r="AC7" s="4" t="s">
        <v>16</v>
      </c>
      <c r="AD7" s="4" t="s">
        <v>17</v>
      </c>
      <c r="AE7" s="4" t="s">
        <v>18</v>
      </c>
      <c r="AF7" s="4" t="s">
        <v>19</v>
      </c>
      <c r="AG7" s="4" t="s">
        <v>20</v>
      </c>
    </row>
    <row r="8" spans="1:33" ht="19" customHeight="1" x14ac:dyDescent="0.25">
      <c r="A8" s="2" t="str">
        <f>IF(NOT(Data[[#This Row],[ActiveNow]]), "",
  Data[[#This Row],[Buyer]] &amp; " !" &amp;
  Data[[#This Row],[PrevFiltered]] &amp;
  IF(AND(Data[[#This Row],[PrevFiltered]]&lt;&gt;"", Data[[#This Row],[PE_Filtered]]&lt;&gt;""), " !", "") &amp;
  Data[[#This Row],[PE_Filtered]]
)</f>
        <v>Adult1 !Adult7 !Spouse2 !Adult4 !Spouse1 !Kid1</v>
      </c>
      <c r="B8" s="11" t="s">
        <v>44</v>
      </c>
      <c r="C8" s="9" t="s">
        <v>37</v>
      </c>
      <c r="D8" s="10" t="s">
        <v>52</v>
      </c>
      <c r="E8" s="10" t="s">
        <v>43</v>
      </c>
      <c r="F8" s="10" t="s">
        <v>54</v>
      </c>
      <c r="G8" s="10" t="s">
        <v>41</v>
      </c>
      <c r="H8" s="10" t="s">
        <v>43</v>
      </c>
      <c r="I8" s="10" t="s">
        <v>55</v>
      </c>
      <c r="J8" s="10"/>
      <c r="K8" s="10"/>
      <c r="L8" s="10"/>
      <c r="M8" s="10"/>
      <c r="N8" s="10"/>
      <c r="O8" s="10" t="s">
        <v>38</v>
      </c>
      <c r="P8" s="10" t="s">
        <v>39</v>
      </c>
      <c r="Q8" s="10"/>
      <c r="R8" s="10"/>
      <c r="S8" s="10"/>
      <c r="T8" s="10"/>
      <c r="U8" s="10"/>
      <c r="V8" s="10"/>
      <c r="W8" s="10"/>
      <c r="X8" s="10"/>
      <c r="Y8" s="10" t="b" cm="1">
        <f t="array" ref="Y8">_xlfn.LET(
  _xlpm.y, MATCH(TEXT(This_Year,"0"), Data[#Headers], 0),
  LOWER(_xlfn.XLOOKUP(Data[[#This Row],[Buyer]], Data[Buyer], _xlfn.CHOOSECOLS(Data[], _xlpm.y), ""))&lt;&gt;"no"
)</f>
        <v>1</v>
      </c>
      <c r="Z8" s="10" t="str" cm="1">
        <f t="array" ref="Z8">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Adult7 !Spouse2 !Adult4</v>
      </c>
      <c r="AA8" s="10" t="str" cm="1">
        <f t="array" ref="AA8">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Spouse1 !Kid1</v>
      </c>
      <c r="AB8" s="10"/>
      <c r="AC8" s="10"/>
      <c r="AD8" s="10"/>
      <c r="AE8" s="10"/>
      <c r="AF8" s="10"/>
      <c r="AG8" s="10"/>
    </row>
    <row r="9" spans="1:33" ht="19" customHeight="1" x14ac:dyDescent="0.25">
      <c r="A9" s="2" t="str">
        <f>IF(NOT(Data[[#This Row],[ActiveNow]]), "",
  Data[[#This Row],[Buyer]] &amp; " !" &amp;
  Data[[#This Row],[PrevFiltered]] &amp;
  IF(AND(Data[[#This Row],[PrevFiltered]]&lt;&gt;"", Data[[#This Row],[PE_Filtered]]&lt;&gt;""), " !", "") &amp;
  Data[[#This Row],[PE_Filtered]]
)</f>
        <v>Spouse1 !Adult4 !Adult2 !Adult5 !Adult1 !Kid1</v>
      </c>
      <c r="B9" s="11" t="s">
        <v>45</v>
      </c>
      <c r="C9" s="9" t="s">
        <v>38</v>
      </c>
      <c r="D9" s="10" t="s">
        <v>43</v>
      </c>
      <c r="E9" s="10" t="s">
        <v>54</v>
      </c>
      <c r="F9" s="10" t="s">
        <v>43</v>
      </c>
      <c r="G9" s="10" t="s">
        <v>40</v>
      </c>
      <c r="H9" s="10" t="s">
        <v>52</v>
      </c>
      <c r="I9" s="10" t="s">
        <v>55</v>
      </c>
      <c r="J9" s="10"/>
      <c r="K9" s="10"/>
      <c r="L9" s="10"/>
      <c r="M9" s="10"/>
      <c r="N9" s="10"/>
      <c r="O9" s="10" t="s">
        <v>37</v>
      </c>
      <c r="P9" s="10" t="s">
        <v>39</v>
      </c>
      <c r="Q9" s="10"/>
      <c r="R9" s="10"/>
      <c r="S9" s="10"/>
      <c r="T9" s="10"/>
      <c r="U9" s="10"/>
      <c r="V9" s="10"/>
      <c r="W9" s="10"/>
      <c r="X9" s="10"/>
      <c r="Y9" s="10" t="b" cm="1">
        <f t="array" ref="Y9">_xlfn.LET(
  _xlpm.y, MATCH(TEXT(This_Year,"0"), Data[#Headers], 0),
  LOWER(_xlfn.XLOOKUP(Data[[#This Row],[Buyer]], Data[Buyer], _xlfn.CHOOSECOLS(Data[], _xlpm.y), ""))&lt;&gt;"no"
)</f>
        <v>1</v>
      </c>
      <c r="Z9" s="10" t="str" cm="1">
        <f t="array" ref="Z9">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Adult4 !Adult2 !Adult5</v>
      </c>
      <c r="AA9" s="10" t="str" cm="1">
        <f t="array" ref="AA9">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Adult1 !Kid1</v>
      </c>
      <c r="AB9" s="10"/>
      <c r="AC9" s="10"/>
      <c r="AD9" s="10"/>
      <c r="AE9" s="10"/>
      <c r="AF9" s="10"/>
      <c r="AG9" s="10"/>
    </row>
    <row r="10" spans="1:33" ht="19" customHeight="1" x14ac:dyDescent="0.25">
      <c r="A10" s="2" t="str">
        <f>IF(NOT(Data[[#This Row],[ActiveNow]]), "",
  Data[[#This Row],[Buyer]] &amp; " !" &amp;
  Data[[#This Row],[PrevFiltered]] &amp;
  IF(AND(Data[[#This Row],[PrevFiltered]]&lt;&gt;"", Data[[#This Row],[PE_Filtered]]&lt;&gt;""), " !", "") &amp;
  Data[[#This Row],[PE_Filtered]]
)</f>
        <v>Kid1 !Adult2 !Adult4 !Spouse2 !Adult1 !Spouse1</v>
      </c>
      <c r="B10" s="11"/>
      <c r="C10" s="9" t="s">
        <v>39</v>
      </c>
      <c r="D10" s="10" t="s">
        <v>53</v>
      </c>
      <c r="E10" s="10" t="s">
        <v>42</v>
      </c>
      <c r="F10" s="10" t="s">
        <v>40</v>
      </c>
      <c r="G10" s="10" t="s">
        <v>43</v>
      </c>
      <c r="H10" s="10" t="s">
        <v>41</v>
      </c>
      <c r="I10" s="10" t="s">
        <v>55</v>
      </c>
      <c r="J10" s="10"/>
      <c r="K10" s="10"/>
      <c r="L10" s="10"/>
      <c r="M10" s="10"/>
      <c r="N10" s="10"/>
      <c r="O10" s="10" t="s">
        <v>37</v>
      </c>
      <c r="P10" s="10" t="s">
        <v>38</v>
      </c>
      <c r="Q10" s="10"/>
      <c r="R10" s="10"/>
      <c r="S10" s="10"/>
      <c r="T10" s="10"/>
      <c r="U10" s="10"/>
      <c r="V10" s="10"/>
      <c r="W10" s="10"/>
      <c r="X10" s="10"/>
      <c r="Y10" s="10" t="b" cm="1">
        <f t="array" ref="Y10">_xlfn.LET(
  _xlpm.y, MATCH(TEXT(This_Year,"0"), Data[#Headers], 0),
  LOWER(_xlfn.XLOOKUP(Data[[#This Row],[Buyer]], Data[Buyer], _xlfn.CHOOSECOLS(Data[], _xlpm.y), ""))&lt;&gt;"no"
)</f>
        <v>1</v>
      </c>
      <c r="Z10" s="10" t="str" cm="1">
        <f t="array" ref="Z10">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Adult2 !Adult4 !Spouse2</v>
      </c>
      <c r="AA10" s="10" t="str" cm="1">
        <f t="array" ref="AA10">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Adult1 !Spouse1</v>
      </c>
      <c r="AB10" s="10"/>
      <c r="AC10" s="10"/>
      <c r="AD10" s="10"/>
      <c r="AE10" s="10"/>
      <c r="AF10" s="10"/>
      <c r="AG10" s="10"/>
    </row>
    <row r="11" spans="1:33" ht="19" customHeight="1" x14ac:dyDescent="0.25">
      <c r="A11" s="2" t="str">
        <f>IF(NOT(Data[[#This Row],[ActiveNow]]), "",
  Data[[#This Row],[Buyer]] &amp; " !" &amp;
  Data[[#This Row],[PrevFiltered]] &amp;
  IF(AND(Data[[#This Row],[PrevFiltered]]&lt;&gt;"", Data[[#This Row],[PE_Filtered]]&lt;&gt;""), " !", "") &amp;
  Data[[#This Row],[PE_Filtered]]
)</f>
        <v>Adult2 !Adult5 !Adult3 !Adult1 !Spouse2</v>
      </c>
      <c r="B11" s="11" t="s">
        <v>46</v>
      </c>
      <c r="C11" s="9" t="s">
        <v>40</v>
      </c>
      <c r="D11" s="10" t="s">
        <v>54</v>
      </c>
      <c r="E11" s="10" t="s">
        <v>39</v>
      </c>
      <c r="F11" s="10" t="s">
        <v>52</v>
      </c>
      <c r="G11" s="10" t="s">
        <v>42</v>
      </c>
      <c r="H11" s="10" t="s">
        <v>37</v>
      </c>
      <c r="I11" s="10" t="s">
        <v>55</v>
      </c>
      <c r="J11" s="10"/>
      <c r="K11" s="10"/>
      <c r="L11" s="10"/>
      <c r="M11" s="10"/>
      <c r="N11" s="10"/>
      <c r="O11" s="10" t="s">
        <v>41</v>
      </c>
      <c r="P11" s="10"/>
      <c r="Q11" s="10"/>
      <c r="R11" s="10"/>
      <c r="S11" s="10"/>
      <c r="T11" s="10"/>
      <c r="U11" s="10"/>
      <c r="V11" s="10"/>
      <c r="W11" s="10"/>
      <c r="X11" s="10"/>
      <c r="Y11" s="10" t="b" cm="1">
        <f t="array" ref="Y11">_xlfn.LET(
  _xlpm.y, MATCH(TEXT(This_Year,"0"), Data[#Headers], 0),
  LOWER(_xlfn.XLOOKUP(Data[[#This Row],[Buyer]], Data[Buyer], _xlfn.CHOOSECOLS(Data[], _xlpm.y), ""))&lt;&gt;"no"
)</f>
        <v>1</v>
      </c>
      <c r="Z11" s="10" t="str" cm="1">
        <f t="array" ref="Z11">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Adult5 !Adult3 !Adult1</v>
      </c>
      <c r="AA11" s="10" t="str" cm="1">
        <f t="array" ref="AA11">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Spouse2</v>
      </c>
      <c r="AB11" s="10"/>
      <c r="AC11" s="10"/>
      <c r="AD11" s="10"/>
      <c r="AE11" s="10"/>
      <c r="AF11" s="10"/>
      <c r="AG11" s="10"/>
    </row>
    <row r="12" spans="1:33" ht="19" customHeight="1" x14ac:dyDescent="0.25">
      <c r="A12" s="2" t="str">
        <f>IF(NOT(Data[[#This Row],[ActiveNow]]), "",
  Data[[#This Row],[Buyer]] &amp; " !" &amp;
  Data[[#This Row],[PrevFiltered]] &amp;
  IF(AND(Data[[#This Row],[PrevFiltered]]&lt;&gt;"", Data[[#This Row],[PE_Filtered]]&lt;&gt;""), " !", "") &amp;
  Data[[#This Row],[PE_Filtered]]
)</f>
        <v>Spouse2 !Adult3 !Adult5 !Kid1 !Adult2</v>
      </c>
      <c r="B12" s="11"/>
      <c r="C12" s="9" t="s">
        <v>41</v>
      </c>
      <c r="D12" s="10" t="s">
        <v>39</v>
      </c>
      <c r="E12" s="10" t="s">
        <v>38</v>
      </c>
      <c r="F12" s="10" t="s">
        <v>42</v>
      </c>
      <c r="G12" s="10" t="s">
        <v>52</v>
      </c>
      <c r="H12" s="10" t="s">
        <v>39</v>
      </c>
      <c r="I12" s="10" t="s">
        <v>55</v>
      </c>
      <c r="J12" s="10"/>
      <c r="K12" s="10"/>
      <c r="L12" s="10"/>
      <c r="M12" s="10"/>
      <c r="N12" s="10"/>
      <c r="O12" s="10" t="s">
        <v>40</v>
      </c>
      <c r="P12" s="10"/>
      <c r="Q12" s="10"/>
      <c r="R12" s="10"/>
      <c r="S12" s="10"/>
      <c r="T12" s="10"/>
      <c r="U12" s="10"/>
      <c r="V12" s="10"/>
      <c r="W12" s="10"/>
      <c r="X12" s="10"/>
      <c r="Y12" s="10" t="b" cm="1">
        <f t="array" ref="Y12">_xlfn.LET(
  _xlpm.y, MATCH(TEXT(This_Year,"0"), Data[#Headers], 0),
  LOWER(_xlfn.XLOOKUP(Data[[#This Row],[Buyer]], Data[Buyer], _xlfn.CHOOSECOLS(Data[], _xlpm.y), ""))&lt;&gt;"no"
)</f>
        <v>1</v>
      </c>
      <c r="Z12" s="10" t="str" cm="1">
        <f t="array" ref="Z12">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Adult3 !Adult5 !Kid1</v>
      </c>
      <c r="AA12" s="10" t="str" cm="1">
        <f t="array" ref="AA12">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Adult2</v>
      </c>
      <c r="AB12" s="10"/>
      <c r="AC12" s="10"/>
      <c r="AD12" s="10"/>
      <c r="AE12" s="10"/>
      <c r="AF12" s="10"/>
      <c r="AG12" s="10"/>
    </row>
    <row r="13" spans="1:33" ht="19" customHeight="1" x14ac:dyDescent="0.25">
      <c r="A13" s="2" t="str">
        <f>IF(NOT(Data[[#This Row],[ActiveNow]]), "",
  Data[[#This Row],[Buyer]] &amp; " !" &amp;
  Data[[#This Row],[PrevFiltered]] &amp;
  IF(AND(Data[[#This Row],[PrevFiltered]]&lt;&gt;"", Data[[#This Row],[PE_Filtered]]&lt;&gt;""), " !", "") &amp;
  Data[[#This Row],[PE_Filtered]]
)</f>
        <v>Adult3 !Kid1 !Adult1 !Adult7</v>
      </c>
      <c r="B13" s="11" t="s">
        <v>47</v>
      </c>
      <c r="C13" s="9" t="s">
        <v>42</v>
      </c>
      <c r="D13" s="10" t="s">
        <v>38</v>
      </c>
      <c r="E13" s="10" t="s">
        <v>40</v>
      </c>
      <c r="F13" s="10" t="s">
        <v>39</v>
      </c>
      <c r="G13" s="10" t="s">
        <v>37</v>
      </c>
      <c r="H13" s="10" t="s">
        <v>54</v>
      </c>
      <c r="I13" s="10" t="s">
        <v>55</v>
      </c>
      <c r="J13" s="10"/>
      <c r="K13" s="10"/>
      <c r="L13" s="10"/>
      <c r="M13" s="10"/>
      <c r="N13" s="10"/>
      <c r="O13" s="10"/>
      <c r="P13" s="10"/>
      <c r="Q13" s="10"/>
      <c r="R13" s="10"/>
      <c r="S13" s="10"/>
      <c r="T13" s="10"/>
      <c r="U13" s="10"/>
      <c r="V13" s="10"/>
      <c r="W13" s="10"/>
      <c r="X13" s="10"/>
      <c r="Y13" s="10" t="b" cm="1">
        <f t="array" ref="Y13">_xlfn.LET(
  _xlpm.y, MATCH(TEXT(This_Year,"0"), Data[#Headers], 0),
  LOWER(_xlfn.XLOOKUP(Data[[#This Row],[Buyer]], Data[Buyer], _xlfn.CHOOSECOLS(Data[], _xlpm.y), ""))&lt;&gt;"no"
)</f>
        <v>1</v>
      </c>
      <c r="Z13" s="10" t="str" cm="1">
        <f t="array" ref="Z13">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Kid1 !Adult1 !Adult7</v>
      </c>
      <c r="AA13" s="10" t="str" cm="1">
        <f t="array" ref="AA13">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13" s="10"/>
      <c r="AC13" s="10"/>
      <c r="AD13" s="10"/>
      <c r="AE13" s="10"/>
      <c r="AF13" s="10"/>
      <c r="AG13" s="10"/>
    </row>
    <row r="14" spans="1:33" ht="19" customHeight="1" x14ac:dyDescent="0.25">
      <c r="A14" s="2" t="str">
        <f>IF(NOT(Data[[#This Row],[ActiveNow]]), "",
  Data[[#This Row],[Buyer]] &amp; " !" &amp;
  Data[[#This Row],[PrevFiltered]] &amp;
  IF(AND(Data[[#This Row],[PrevFiltered]]&lt;&gt;"", Data[[#This Row],[PE_Filtered]]&lt;&gt;""), " !", "") &amp;
  Data[[#This Row],[PE_Filtered]]
)</f>
        <v>Adult4 !Spouse1 !Adult7 !Adult6</v>
      </c>
      <c r="B14" s="11" t="s">
        <v>48</v>
      </c>
      <c r="C14" s="9" t="s">
        <v>43</v>
      </c>
      <c r="D14" s="10" t="s">
        <v>37</v>
      </c>
      <c r="E14" s="10" t="s">
        <v>52</v>
      </c>
      <c r="F14" s="10" t="s">
        <v>38</v>
      </c>
      <c r="G14" s="10" t="s">
        <v>54</v>
      </c>
      <c r="H14" s="10" t="s">
        <v>53</v>
      </c>
      <c r="I14" s="10" t="s">
        <v>55</v>
      </c>
      <c r="J14" s="10"/>
      <c r="K14" s="10"/>
      <c r="L14" s="10"/>
      <c r="M14" s="10"/>
      <c r="N14" s="10"/>
      <c r="O14" s="10"/>
      <c r="P14" s="10"/>
      <c r="Q14" s="10"/>
      <c r="R14" s="10"/>
      <c r="S14" s="10"/>
      <c r="T14" s="10"/>
      <c r="U14" s="10"/>
      <c r="V14" s="10"/>
      <c r="W14" s="10"/>
      <c r="X14" s="10"/>
      <c r="Y14" s="10" t="b" cm="1">
        <f t="array" ref="Y14">_xlfn.LET(
  _xlpm.y, MATCH(TEXT(This_Year,"0"), Data[#Headers], 0),
  LOWER(_xlfn.XLOOKUP(Data[[#This Row],[Buyer]], Data[Buyer], _xlfn.CHOOSECOLS(Data[], _xlpm.y), ""))&lt;&gt;"no"
)</f>
        <v>1</v>
      </c>
      <c r="Z14" s="10" t="str" cm="1">
        <f t="array" ref="Z14">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Spouse1 !Adult7 !Adult6</v>
      </c>
      <c r="AA14" s="10" t="str" cm="1">
        <f t="array" ref="AA14">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14" s="10"/>
      <c r="AC14" s="10"/>
      <c r="AD14" s="10"/>
      <c r="AE14" s="10"/>
      <c r="AF14" s="10"/>
      <c r="AG14" s="10"/>
    </row>
    <row r="15" spans="1:33" ht="19" x14ac:dyDescent="0.25">
      <c r="A15" s="2" t="str">
        <f>IF(NOT(Data[[#This Row],[ActiveNow]]), "",
  Data[[#This Row],[Buyer]] &amp; " !" &amp;
  Data[[#This Row],[PrevFiltered]] &amp;
  IF(AND(Data[[#This Row],[PrevFiltered]]&lt;&gt;"", Data[[#This Row],[PE_Filtered]]&lt;&gt;""), " !", "") &amp;
  Data[[#This Row],[PE_Filtered]]
)</f>
        <v>Adult5 !Adult1 !Kid1 !Adult2</v>
      </c>
      <c r="B15" s="11" t="s">
        <v>49</v>
      </c>
      <c r="C15" s="9" t="s">
        <v>52</v>
      </c>
      <c r="D15" s="10" t="s">
        <v>41</v>
      </c>
      <c r="E15" s="10" t="s">
        <v>53</v>
      </c>
      <c r="F15" s="10" t="s">
        <v>37</v>
      </c>
      <c r="G15" s="10" t="s">
        <v>39</v>
      </c>
      <c r="H15" s="10" t="s">
        <v>40</v>
      </c>
      <c r="I15" s="10" t="s">
        <v>55</v>
      </c>
      <c r="J15" s="10"/>
      <c r="K15" s="10"/>
      <c r="L15" s="10"/>
      <c r="M15" s="10"/>
      <c r="N15" s="10"/>
      <c r="O15" s="10"/>
      <c r="P15" s="10"/>
      <c r="Q15" s="10"/>
      <c r="R15" s="10"/>
      <c r="S15" s="10"/>
      <c r="T15" s="10"/>
      <c r="U15" s="10"/>
      <c r="V15" s="10"/>
      <c r="W15" s="10"/>
      <c r="X15" s="10"/>
      <c r="Y15" s="10" t="b" cm="1">
        <f t="array" ref="Y15">_xlfn.LET(
  _xlpm.y, MATCH(TEXT(This_Year,"0"), Data[#Headers], 0),
  LOWER(_xlfn.XLOOKUP(Data[[#This Row],[Buyer]], Data[Buyer], _xlfn.CHOOSECOLS(Data[], _xlpm.y), ""))&lt;&gt;"no"
)</f>
        <v>1</v>
      </c>
      <c r="Z15" s="10" t="str" cm="1">
        <f t="array" ref="Z15">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Adult1 !Kid1 !Adult2</v>
      </c>
      <c r="AA15" s="10" t="str" cm="1">
        <f t="array" ref="AA15">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15" s="10"/>
      <c r="AC15" s="10"/>
      <c r="AD15" s="10"/>
      <c r="AE15" s="10"/>
      <c r="AF15" s="10"/>
      <c r="AG15" s="10"/>
    </row>
    <row r="16" spans="1:33" ht="19" x14ac:dyDescent="0.25">
      <c r="A16" s="2" t="str">
        <f>IF(NOT(Data[[#This Row],[ActiveNow]]), "",
  Data[[#This Row],[Buyer]] &amp; " !" &amp;
  Data[[#This Row],[PrevFiltered]] &amp;
  IF(AND(Data[[#This Row],[PrevFiltered]]&lt;&gt;"", Data[[#This Row],[PE_Filtered]]&lt;&gt;""), " !", "") &amp;
  Data[[#This Row],[PE_Filtered]]
)</f>
        <v>Adult6 !Spouse2 !Spouse1 !Adult3</v>
      </c>
      <c r="B16" s="11" t="s">
        <v>50</v>
      </c>
      <c r="C16" s="9" t="s">
        <v>53</v>
      </c>
      <c r="D16" s="10" t="s">
        <v>40</v>
      </c>
      <c r="E16" s="10" t="s">
        <v>37</v>
      </c>
      <c r="F16" s="10" t="s">
        <v>41</v>
      </c>
      <c r="G16" s="10" t="s">
        <v>38</v>
      </c>
      <c r="H16" s="10" t="s">
        <v>42</v>
      </c>
      <c r="I16" s="10" t="s">
        <v>55</v>
      </c>
      <c r="J16" s="10"/>
      <c r="K16" s="10"/>
      <c r="L16" s="10"/>
      <c r="M16" s="10"/>
      <c r="N16" s="10"/>
      <c r="O16" s="10"/>
      <c r="P16" s="10"/>
      <c r="Q16" s="10"/>
      <c r="R16" s="10"/>
      <c r="S16" s="10"/>
      <c r="T16" s="10"/>
      <c r="U16" s="10"/>
      <c r="V16" s="10"/>
      <c r="W16" s="10"/>
      <c r="X16" s="10"/>
      <c r="Y16" s="10" t="b" cm="1">
        <f t="array" ref="Y16">_xlfn.LET(
  _xlpm.y, MATCH(TEXT(This_Year,"0"), Data[#Headers], 0),
  LOWER(_xlfn.XLOOKUP(Data[[#This Row],[Buyer]], Data[Buyer], _xlfn.CHOOSECOLS(Data[], _xlpm.y), ""))&lt;&gt;"no"
)</f>
        <v>1</v>
      </c>
      <c r="Z16" s="10" t="str" cm="1">
        <f t="array" ref="Z16">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Spouse2 !Spouse1 !Adult3</v>
      </c>
      <c r="AA16" s="10" t="str" cm="1">
        <f t="array" ref="AA16">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16" s="10"/>
      <c r="AC16" s="10"/>
      <c r="AD16" s="10"/>
      <c r="AE16" s="10"/>
      <c r="AF16" s="10"/>
      <c r="AG16" s="10"/>
    </row>
    <row r="17" spans="1:33" ht="19" x14ac:dyDescent="0.25">
      <c r="A17" s="2" t="str">
        <f>IF(NOT(Data[[#This Row],[ActiveNow]]), "",
  Data[[#This Row],[Buyer]] &amp; " !" &amp;
  Data[[#This Row],[PrevFiltered]] &amp;
  IF(AND(Data[[#This Row],[PrevFiltered]]&lt;&gt;"", Data[[#This Row],[PE_Filtered]]&lt;&gt;""), " !", "") &amp;
  Data[[#This Row],[PE_Filtered]]
)</f>
        <v>Adult7 !Adult6 !Adult6 !Spouse1</v>
      </c>
      <c r="B17" s="8" t="s">
        <v>51</v>
      </c>
      <c r="C17" s="9" t="s">
        <v>54</v>
      </c>
      <c r="D17" s="10" t="s">
        <v>42</v>
      </c>
      <c r="E17" s="10" t="s">
        <v>41</v>
      </c>
      <c r="F17" s="10" t="s">
        <v>53</v>
      </c>
      <c r="G17" s="10" t="s">
        <v>53</v>
      </c>
      <c r="H17" s="10" t="s">
        <v>38</v>
      </c>
      <c r="I17" s="10" t="s">
        <v>55</v>
      </c>
      <c r="J17" s="10"/>
      <c r="K17" s="10"/>
      <c r="L17" s="10"/>
      <c r="M17" s="10"/>
      <c r="N17" s="10"/>
      <c r="O17" s="10"/>
      <c r="P17" s="10"/>
      <c r="Q17" s="10"/>
      <c r="R17" s="10"/>
      <c r="S17" s="10"/>
      <c r="T17" s="10"/>
      <c r="U17" s="10"/>
      <c r="V17" s="10"/>
      <c r="W17" s="10"/>
      <c r="X17" s="10"/>
      <c r="Y17" s="10" t="b" cm="1">
        <f t="array" ref="Y17">_xlfn.LET(
  _xlpm.y, MATCH(TEXT(This_Year,"0"), Data[#Headers], 0),
  LOWER(_xlfn.XLOOKUP(Data[[#This Row],[Buyer]], Data[Buyer], _xlfn.CHOOSECOLS(Data[], _xlpm.y), ""))&lt;&gt;"no"
)</f>
        <v>1</v>
      </c>
      <c r="Z17" s="10" t="str" cm="1">
        <f t="array" ref="Z17">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Adult6 !Adult6 !Spouse1</v>
      </c>
      <c r="AA17" s="10" t="str" cm="1">
        <f t="array" ref="AA17">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17" s="10"/>
      <c r="AC17" s="10"/>
      <c r="AD17" s="10"/>
      <c r="AE17" s="10"/>
      <c r="AF17" s="10"/>
      <c r="AG17" s="10"/>
    </row>
    <row r="18" spans="1:33" ht="19" x14ac:dyDescent="0.25">
      <c r="A18" s="2" t="str">
        <f>IF(NOT(Data[[#This Row],[ActiveNow]]), "",
  Data[[#This Row],[Buyer]] &amp; " !" &amp;
  Data[[#This Row],[PrevFiltered]] &amp;
  IF(AND(Data[[#This Row],[PrevFiltered]]&lt;&gt;"", Data[[#This Row],[PE_Filtered]]&lt;&gt;""), " !", "") &amp;
  Data[[#This Row],[PE_Filtered]]
)</f>
        <v xml:space="preserve"> !</v>
      </c>
      <c r="B18" s="5"/>
      <c r="C18" s="6"/>
      <c r="D18" s="7"/>
      <c r="E18" s="7"/>
      <c r="F18" s="7"/>
      <c r="G18" s="7"/>
      <c r="H18" s="7"/>
      <c r="I18" s="7"/>
      <c r="J18" s="7"/>
      <c r="K18" s="7"/>
      <c r="L18" s="7"/>
      <c r="M18" s="7"/>
      <c r="N18" s="7"/>
      <c r="O18" s="7"/>
      <c r="P18" s="7"/>
      <c r="Q18" s="7"/>
      <c r="R18" s="7"/>
      <c r="S18" s="7"/>
      <c r="T18" s="7"/>
      <c r="U18" s="7"/>
      <c r="V18" s="7"/>
      <c r="W18" s="7"/>
      <c r="X18" s="7"/>
      <c r="Y18" s="7" t="b" cm="1">
        <f t="array" ref="Y18">_xlfn.LET(
  _xlpm.y, MATCH(TEXT(This_Year,"0"), Data[#Headers], 0),
  LOWER(_xlfn.XLOOKUP(Data[[#This Row],[Buyer]], Data[Buyer], _xlfn.CHOOSECOLS(Data[], _xlpm.y), ""))&lt;&gt;"no"
)</f>
        <v>1</v>
      </c>
      <c r="Z18" s="7" t="str" cm="1">
        <f t="array" ref="Z18">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18" s="7" t="str" cm="1">
        <f t="array" ref="AA18">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18" s="7"/>
      <c r="AC18" s="7"/>
      <c r="AD18" s="7"/>
      <c r="AE18" s="7"/>
      <c r="AF18" s="7"/>
      <c r="AG18" s="7"/>
    </row>
    <row r="19" spans="1:33" ht="19" x14ac:dyDescent="0.25">
      <c r="A19" s="2" t="str">
        <f>IF(NOT(Data[[#This Row],[ActiveNow]]), "",
  Data[[#This Row],[Buyer]] &amp; " !" &amp;
  Data[[#This Row],[PrevFiltered]] &amp;
  IF(AND(Data[[#This Row],[PrevFiltered]]&lt;&gt;"", Data[[#This Row],[PE_Filtered]]&lt;&gt;""), " !", "") &amp;
  Data[[#This Row],[PE_Filtered]]
)</f>
        <v xml:space="preserve"> !</v>
      </c>
      <c r="B19" s="8"/>
      <c r="C19" s="9"/>
      <c r="D19" s="10"/>
      <c r="E19" s="10"/>
      <c r="F19" s="10"/>
      <c r="G19" s="10"/>
      <c r="H19" s="10"/>
      <c r="I19" s="10"/>
      <c r="J19" s="10"/>
      <c r="K19" s="10"/>
      <c r="L19" s="10"/>
      <c r="M19" s="10"/>
      <c r="N19" s="10"/>
      <c r="O19" s="10"/>
      <c r="P19" s="10"/>
      <c r="Q19" s="10"/>
      <c r="R19" s="10"/>
      <c r="S19" s="10"/>
      <c r="T19" s="10"/>
      <c r="U19" s="10"/>
      <c r="V19" s="10"/>
      <c r="W19" s="10"/>
      <c r="X19" s="10"/>
      <c r="Y19" s="10" t="b" cm="1">
        <f t="array" ref="Y19">_xlfn.LET(
  _xlpm.y, MATCH(TEXT(This_Year,"0"), Data[#Headers], 0),
  LOWER(_xlfn.XLOOKUP(Data[[#This Row],[Buyer]], Data[Buyer], _xlfn.CHOOSECOLS(Data[], _xlpm.y), ""))&lt;&gt;"no"
)</f>
        <v>1</v>
      </c>
      <c r="Z19" s="10" t="str" cm="1">
        <f t="array" ref="Z19">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19" s="10" t="str" cm="1">
        <f t="array" ref="AA19">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19" s="10"/>
      <c r="AC19" s="10"/>
      <c r="AD19" s="10"/>
      <c r="AE19" s="10"/>
      <c r="AF19" s="10"/>
      <c r="AG19" s="10"/>
    </row>
    <row r="20" spans="1:33" ht="19" x14ac:dyDescent="0.25">
      <c r="A20" s="2" t="str">
        <f>IF(NOT(Data[[#This Row],[ActiveNow]]), "",
  Data[[#This Row],[Buyer]] &amp; " !" &amp;
  Data[[#This Row],[PrevFiltered]] &amp;
  IF(AND(Data[[#This Row],[PrevFiltered]]&lt;&gt;"", Data[[#This Row],[PE_Filtered]]&lt;&gt;""), " !", "") &amp;
  Data[[#This Row],[PE_Filtered]]
)</f>
        <v xml:space="preserve"> !</v>
      </c>
      <c r="B20" s="5"/>
      <c r="C20" s="6"/>
      <c r="D20" s="7"/>
      <c r="E20" s="7"/>
      <c r="F20" s="7"/>
      <c r="G20" s="7"/>
      <c r="H20" s="7"/>
      <c r="I20" s="7"/>
      <c r="J20" s="7"/>
      <c r="K20" s="7"/>
      <c r="L20" s="7"/>
      <c r="M20" s="7"/>
      <c r="N20" s="7"/>
      <c r="O20" s="7"/>
      <c r="P20" s="7"/>
      <c r="Q20" s="7"/>
      <c r="R20" s="7"/>
      <c r="S20" s="7"/>
      <c r="T20" s="7"/>
      <c r="U20" s="7"/>
      <c r="V20" s="7"/>
      <c r="W20" s="7"/>
      <c r="X20" s="7"/>
      <c r="Y20" s="7" t="b" cm="1">
        <f t="array" ref="Y20">_xlfn.LET(
  _xlpm.y, MATCH(TEXT(This_Year,"0"), Data[#Headers], 0),
  LOWER(_xlfn.XLOOKUP(Data[[#This Row],[Buyer]], Data[Buyer], _xlfn.CHOOSECOLS(Data[], _xlpm.y), ""))&lt;&gt;"no"
)</f>
        <v>1</v>
      </c>
      <c r="Z20" s="7" t="str" cm="1">
        <f t="array" ref="Z20">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20" s="7" t="str" cm="1">
        <f t="array" ref="AA20">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20" s="7"/>
      <c r="AC20" s="7"/>
      <c r="AD20" s="7"/>
      <c r="AE20" s="7"/>
      <c r="AF20" s="7"/>
      <c r="AG20" s="7"/>
    </row>
    <row r="21" spans="1:33" ht="19" x14ac:dyDescent="0.25">
      <c r="A21" s="2" t="str">
        <f>IF(NOT(Data[[#This Row],[ActiveNow]]), "",
  Data[[#This Row],[Buyer]] &amp; " !" &amp;
  Data[[#This Row],[PrevFiltered]] &amp;
  IF(AND(Data[[#This Row],[PrevFiltered]]&lt;&gt;"", Data[[#This Row],[PE_Filtered]]&lt;&gt;""), " !", "") &amp;
  Data[[#This Row],[PE_Filtered]]
)</f>
        <v xml:space="preserve"> !</v>
      </c>
      <c r="B21" s="8"/>
      <c r="C21" s="9"/>
      <c r="D21" s="10"/>
      <c r="E21" s="10"/>
      <c r="F21" s="10"/>
      <c r="G21" s="10"/>
      <c r="H21" s="10"/>
      <c r="I21" s="10"/>
      <c r="J21" s="10"/>
      <c r="K21" s="10"/>
      <c r="L21" s="10"/>
      <c r="M21" s="10"/>
      <c r="N21" s="10"/>
      <c r="O21" s="10"/>
      <c r="P21" s="10"/>
      <c r="Q21" s="10"/>
      <c r="R21" s="10"/>
      <c r="S21" s="10"/>
      <c r="T21" s="10"/>
      <c r="U21" s="10"/>
      <c r="V21" s="10"/>
      <c r="W21" s="10"/>
      <c r="X21" s="10"/>
      <c r="Y21" s="10" t="b" cm="1">
        <f t="array" ref="Y21">_xlfn.LET(
  _xlpm.y, MATCH(TEXT(This_Year,"0"), Data[#Headers], 0),
  LOWER(_xlfn.XLOOKUP(Data[[#This Row],[Buyer]], Data[Buyer], _xlfn.CHOOSECOLS(Data[], _xlpm.y), ""))&lt;&gt;"no"
)</f>
        <v>1</v>
      </c>
      <c r="Z21" s="10" t="str" cm="1">
        <f t="array" ref="Z21">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21" s="10" t="str" cm="1">
        <f t="array" ref="AA21">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21" s="10"/>
      <c r="AC21" s="10"/>
      <c r="AD21" s="10"/>
      <c r="AE21" s="10"/>
      <c r="AF21" s="10"/>
      <c r="AG21" s="10"/>
    </row>
    <row r="22" spans="1:33" ht="19" x14ac:dyDescent="0.25">
      <c r="A22" s="2" t="str">
        <f>IF(NOT(Data[[#This Row],[ActiveNow]]), "",
  Data[[#This Row],[Buyer]] &amp; " !" &amp;
  Data[[#This Row],[PrevFiltered]] &amp;
  IF(AND(Data[[#This Row],[PrevFiltered]]&lt;&gt;"", Data[[#This Row],[PE_Filtered]]&lt;&gt;""), " !", "") &amp;
  Data[[#This Row],[PE_Filtered]]
)</f>
        <v xml:space="preserve"> !</v>
      </c>
      <c r="B22" s="5"/>
      <c r="C22" s="6"/>
      <c r="D22" s="7"/>
      <c r="E22" s="7"/>
      <c r="F22" s="7"/>
      <c r="G22" s="7"/>
      <c r="H22" s="7"/>
      <c r="I22" s="7"/>
      <c r="J22" s="7"/>
      <c r="K22" s="7"/>
      <c r="L22" s="7"/>
      <c r="M22" s="7"/>
      <c r="N22" s="7"/>
      <c r="O22" s="7"/>
      <c r="P22" s="7"/>
      <c r="Q22" s="7"/>
      <c r="R22" s="7"/>
      <c r="S22" s="7"/>
      <c r="T22" s="7"/>
      <c r="U22" s="7"/>
      <c r="V22" s="7"/>
      <c r="W22" s="7"/>
      <c r="X22" s="7"/>
      <c r="Y22" s="7" t="b" cm="1">
        <f t="array" ref="Y22">_xlfn.LET(
  _xlpm.y, MATCH(TEXT(This_Year,"0"), Data[#Headers], 0),
  LOWER(_xlfn.XLOOKUP(Data[[#This Row],[Buyer]], Data[Buyer], _xlfn.CHOOSECOLS(Data[], _xlpm.y), ""))&lt;&gt;"no"
)</f>
        <v>1</v>
      </c>
      <c r="Z22" s="7" t="str" cm="1">
        <f t="array" ref="Z22">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22" s="7" t="str" cm="1">
        <f t="array" ref="AA22">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22" s="7"/>
      <c r="AC22" s="7"/>
      <c r="AD22" s="7"/>
      <c r="AE22" s="7"/>
      <c r="AF22" s="7"/>
      <c r="AG22" s="7"/>
    </row>
    <row r="23" spans="1:33" ht="19" x14ac:dyDescent="0.25">
      <c r="A23" s="2" t="str">
        <f>IF(NOT(Data[[#This Row],[ActiveNow]]), "",
  Data[[#This Row],[Buyer]] &amp; " !" &amp;
  Data[[#This Row],[PrevFiltered]] &amp;
  IF(AND(Data[[#This Row],[PrevFiltered]]&lt;&gt;"", Data[[#This Row],[PE_Filtered]]&lt;&gt;""), " !", "") &amp;
  Data[[#This Row],[PE_Filtered]]
)</f>
        <v xml:space="preserve"> !</v>
      </c>
      <c r="B23" s="8"/>
      <c r="C23" s="9"/>
      <c r="D23" s="10"/>
      <c r="E23" s="10"/>
      <c r="F23" s="10"/>
      <c r="G23" s="10"/>
      <c r="H23" s="10"/>
      <c r="I23" s="10"/>
      <c r="J23" s="10"/>
      <c r="K23" s="10"/>
      <c r="L23" s="10"/>
      <c r="M23" s="10"/>
      <c r="N23" s="10"/>
      <c r="O23" s="10"/>
      <c r="P23" s="10"/>
      <c r="Q23" s="10"/>
      <c r="R23" s="10"/>
      <c r="S23" s="10"/>
      <c r="T23" s="10"/>
      <c r="U23" s="10"/>
      <c r="V23" s="10"/>
      <c r="W23" s="10"/>
      <c r="X23" s="10"/>
      <c r="Y23" s="10" t="b" cm="1">
        <f t="array" ref="Y23">_xlfn.LET(
  _xlpm.y, MATCH(TEXT(This_Year,"0"), Data[#Headers], 0),
  LOWER(_xlfn.XLOOKUP(Data[[#This Row],[Buyer]], Data[Buyer], _xlfn.CHOOSECOLS(Data[], _xlpm.y), ""))&lt;&gt;"no"
)</f>
        <v>1</v>
      </c>
      <c r="Z23" s="10" t="str" cm="1">
        <f t="array" ref="Z23">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23" s="10" t="str" cm="1">
        <f t="array" ref="AA23">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23" s="10"/>
      <c r="AC23" s="10"/>
      <c r="AD23" s="10"/>
      <c r="AE23" s="10"/>
      <c r="AF23" s="10"/>
      <c r="AG23" s="10"/>
    </row>
    <row r="24" spans="1:33" ht="19" x14ac:dyDescent="0.25">
      <c r="A24" s="2" t="str">
        <f>IF(NOT(Data[[#This Row],[ActiveNow]]), "",
  Data[[#This Row],[Buyer]] &amp; " !" &amp;
  Data[[#This Row],[PrevFiltered]] &amp;
  IF(AND(Data[[#This Row],[PrevFiltered]]&lt;&gt;"", Data[[#This Row],[PE_Filtered]]&lt;&gt;""), " !", "") &amp;
  Data[[#This Row],[PE_Filtered]]
)</f>
        <v xml:space="preserve"> !</v>
      </c>
      <c r="B24" s="5"/>
      <c r="C24" s="6"/>
      <c r="D24" s="7"/>
      <c r="E24" s="7"/>
      <c r="F24" s="7"/>
      <c r="G24" s="7"/>
      <c r="H24" s="7"/>
      <c r="I24" s="7"/>
      <c r="J24" s="7"/>
      <c r="K24" s="7"/>
      <c r="L24" s="7"/>
      <c r="M24" s="7"/>
      <c r="N24" s="7"/>
      <c r="O24" s="7"/>
      <c r="P24" s="7"/>
      <c r="Q24" s="7"/>
      <c r="R24" s="7"/>
      <c r="S24" s="7"/>
      <c r="T24" s="7"/>
      <c r="U24" s="7"/>
      <c r="V24" s="7"/>
      <c r="W24" s="7"/>
      <c r="X24" s="7"/>
      <c r="Y24" s="7" t="b" cm="1">
        <f t="array" ref="Y24">_xlfn.LET(
  _xlpm.y, MATCH(TEXT(This_Year,"0"), Data[#Headers], 0),
  LOWER(_xlfn.XLOOKUP(Data[[#This Row],[Buyer]], Data[Buyer], _xlfn.CHOOSECOLS(Data[], _xlpm.y), ""))&lt;&gt;"no"
)</f>
        <v>1</v>
      </c>
      <c r="Z24" s="7" t="str" cm="1">
        <f t="array" ref="Z24">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24" s="7" t="str" cm="1">
        <f t="array" ref="AA24">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24" s="7"/>
      <c r="AC24" s="7"/>
      <c r="AD24" s="7"/>
      <c r="AE24" s="7"/>
      <c r="AF24" s="7"/>
      <c r="AG24" s="7"/>
    </row>
    <row r="25" spans="1:33" ht="19" x14ac:dyDescent="0.25">
      <c r="A25" s="2" t="str">
        <f>IF(NOT(Data[[#This Row],[ActiveNow]]), "",
  Data[[#This Row],[Buyer]] &amp; " !" &amp;
  Data[[#This Row],[PrevFiltered]] &amp;
  IF(AND(Data[[#This Row],[PrevFiltered]]&lt;&gt;"", Data[[#This Row],[PE_Filtered]]&lt;&gt;""), " !", "") &amp;
  Data[[#This Row],[PE_Filtered]]
)</f>
        <v xml:space="preserve"> !</v>
      </c>
      <c r="B25" s="8"/>
      <c r="C25" s="9"/>
      <c r="D25" s="10"/>
      <c r="E25" s="10"/>
      <c r="F25" s="10"/>
      <c r="G25" s="10"/>
      <c r="H25" s="10"/>
      <c r="I25" s="10"/>
      <c r="J25" s="10"/>
      <c r="K25" s="10"/>
      <c r="L25" s="10"/>
      <c r="M25" s="10"/>
      <c r="N25" s="10"/>
      <c r="O25" s="10"/>
      <c r="P25" s="10"/>
      <c r="Q25" s="10"/>
      <c r="R25" s="10"/>
      <c r="S25" s="10"/>
      <c r="T25" s="10"/>
      <c r="U25" s="10"/>
      <c r="V25" s="10"/>
      <c r="W25" s="10"/>
      <c r="X25" s="10"/>
      <c r="Y25" s="10" t="b" cm="1">
        <f t="array" ref="Y25">_xlfn.LET(
  _xlpm.y, MATCH(TEXT(This_Year,"0"), Data[#Headers], 0),
  LOWER(_xlfn.XLOOKUP(Data[[#This Row],[Buyer]], Data[Buyer], _xlfn.CHOOSECOLS(Data[], _xlpm.y), ""))&lt;&gt;"no"
)</f>
        <v>1</v>
      </c>
      <c r="Z25" s="10" t="str" cm="1">
        <f t="array" ref="Z25">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25" s="10" t="str" cm="1">
        <f t="array" ref="AA25">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25" s="10"/>
      <c r="AC25" s="10"/>
      <c r="AD25" s="10"/>
      <c r="AE25" s="10"/>
      <c r="AF25" s="10"/>
      <c r="AG25" s="10"/>
    </row>
    <row r="26" spans="1:33" ht="16" customHeight="1" x14ac:dyDescent="0.25">
      <c r="A26" s="2" t="str">
        <f>IF(NOT(Data[[#This Row],[ActiveNow]]), "",
  Data[[#This Row],[Buyer]] &amp; " !" &amp;
  Data[[#This Row],[PrevFiltered]] &amp;
  IF(AND(Data[[#This Row],[PrevFiltered]]&lt;&gt;"", Data[[#This Row],[PE_Filtered]]&lt;&gt;""), " !", "") &amp;
  Data[[#This Row],[PE_Filtered]]
)</f>
        <v xml:space="preserve"> !</v>
      </c>
      <c r="B26" s="7"/>
      <c r="C26" s="7"/>
      <c r="D26" s="7"/>
      <c r="E26" s="7"/>
      <c r="F26" s="7"/>
      <c r="G26" s="7"/>
      <c r="H26" s="7"/>
      <c r="I26" s="7"/>
      <c r="J26" s="7"/>
      <c r="K26" s="7"/>
      <c r="L26" s="7"/>
      <c r="M26" s="7"/>
      <c r="N26" s="7"/>
      <c r="O26" s="7"/>
      <c r="P26" s="7"/>
      <c r="Q26" s="7"/>
      <c r="R26" s="7"/>
      <c r="S26" s="7"/>
      <c r="T26" s="7"/>
      <c r="U26" s="7"/>
      <c r="V26" s="7"/>
      <c r="W26" s="7"/>
      <c r="X26" s="7"/>
      <c r="Y26" s="7" t="b" cm="1">
        <f t="array" ref="Y26">_xlfn.LET(
  _xlpm.y, MATCH(TEXT(This_Year,"0"), Data[#Headers], 0),
  LOWER(_xlfn.XLOOKUP(Data[[#This Row],[Buyer]], Data[Buyer], _xlfn.CHOOSECOLS(Data[], _xlpm.y), ""))&lt;&gt;"no"
)</f>
        <v>1</v>
      </c>
      <c r="Z26" s="7" t="str" cm="1">
        <f t="array" ref="Z26">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26" s="7" t="str" cm="1">
        <f t="array" ref="AA26">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26" s="7"/>
      <c r="AC26" s="7"/>
      <c r="AD26" s="7"/>
      <c r="AE26" s="7"/>
      <c r="AF26" s="7"/>
      <c r="AG26" s="7"/>
    </row>
    <row r="27" spans="1:33" ht="16" customHeight="1" x14ac:dyDescent="0.25">
      <c r="A27" s="2" t="str">
        <f>IF(NOT(Data[[#This Row],[ActiveNow]]), "",
  Data[[#This Row],[Buyer]] &amp; " !" &amp;
  Data[[#This Row],[PrevFiltered]] &amp;
  IF(AND(Data[[#This Row],[PrevFiltered]]&lt;&gt;"", Data[[#This Row],[PE_Filtered]]&lt;&gt;""), " !", "") &amp;
  Data[[#This Row],[PE_Filtered]]
)</f>
        <v xml:space="preserve"> !</v>
      </c>
      <c r="B27" s="10"/>
      <c r="C27" s="10"/>
      <c r="D27" s="10"/>
      <c r="E27" s="10"/>
      <c r="F27" s="10"/>
      <c r="G27" s="10"/>
      <c r="H27" s="10"/>
      <c r="I27" s="10"/>
      <c r="J27" s="10"/>
      <c r="K27" s="10"/>
      <c r="L27" s="10"/>
      <c r="M27" s="10"/>
      <c r="N27" s="10"/>
      <c r="O27" s="10"/>
      <c r="P27" s="10"/>
      <c r="Q27" s="10"/>
      <c r="R27" s="10"/>
      <c r="S27" s="10"/>
      <c r="T27" s="10"/>
      <c r="U27" s="10"/>
      <c r="V27" s="10"/>
      <c r="W27" s="10"/>
      <c r="X27" s="10"/>
      <c r="Y27" s="10" t="b" cm="1">
        <f t="array" ref="Y27">_xlfn.LET(
  _xlpm.y, MATCH(TEXT(This_Year,"0"), Data[#Headers], 0),
  LOWER(_xlfn.XLOOKUP(Data[[#This Row],[Buyer]], Data[Buyer], _xlfn.CHOOSECOLS(Data[], _xlpm.y), ""))&lt;&gt;"no"
)</f>
        <v>1</v>
      </c>
      <c r="Z27" s="10" t="str" cm="1">
        <f t="array" ref="Z27">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27" s="10" t="str" cm="1">
        <f t="array" ref="AA27">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27" s="10"/>
      <c r="AC27" s="10"/>
      <c r="AD27" s="10"/>
      <c r="AE27" s="10"/>
      <c r="AF27" s="10"/>
      <c r="AG27" s="10"/>
    </row>
    <row r="28" spans="1:33" ht="16" customHeight="1" x14ac:dyDescent="0.25">
      <c r="A28" s="2" t="str">
        <f>IF(NOT(Data[[#This Row],[ActiveNow]]), "",
  Data[[#This Row],[Buyer]] &amp; " !" &amp;
  Data[[#This Row],[PrevFiltered]] &amp;
  IF(AND(Data[[#This Row],[PrevFiltered]]&lt;&gt;"", Data[[#This Row],[PE_Filtered]]&lt;&gt;""), " !", "") &amp;
  Data[[#This Row],[PE_Filtered]]
)</f>
        <v xml:space="preserve"> !</v>
      </c>
      <c r="B28" s="7"/>
      <c r="C28" s="7"/>
      <c r="D28" s="7"/>
      <c r="E28" s="7"/>
      <c r="F28" s="7"/>
      <c r="G28" s="7"/>
      <c r="H28" s="7"/>
      <c r="I28" s="7"/>
      <c r="J28" s="7"/>
      <c r="K28" s="7"/>
      <c r="L28" s="7"/>
      <c r="M28" s="7"/>
      <c r="N28" s="7"/>
      <c r="O28" s="7"/>
      <c r="P28" s="7"/>
      <c r="Q28" s="7"/>
      <c r="R28" s="7"/>
      <c r="S28" s="7"/>
      <c r="T28" s="7"/>
      <c r="U28" s="7"/>
      <c r="V28" s="7"/>
      <c r="W28" s="7"/>
      <c r="X28" s="7"/>
      <c r="Y28" s="7" t="b" cm="1">
        <f t="array" ref="Y28">_xlfn.LET(
  _xlpm.y, MATCH(TEXT(This_Year,"0"), Data[#Headers], 0),
  LOWER(_xlfn.XLOOKUP(Data[[#This Row],[Buyer]], Data[Buyer], _xlfn.CHOOSECOLS(Data[], _xlpm.y), ""))&lt;&gt;"no"
)</f>
        <v>1</v>
      </c>
      <c r="Z28" s="7" t="str" cm="1">
        <f t="array" ref="Z28">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28" s="7" t="str" cm="1">
        <f t="array" ref="AA28">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28" s="7"/>
      <c r="AC28" s="7"/>
      <c r="AD28" s="7"/>
      <c r="AE28" s="7"/>
      <c r="AF28" s="7"/>
      <c r="AG28" s="7"/>
    </row>
    <row r="29" spans="1:33" ht="16" customHeight="1" x14ac:dyDescent="0.25">
      <c r="A29" s="2" t="str">
        <f>IF(NOT(Data[[#This Row],[ActiveNow]]), "",
  Data[[#This Row],[Buyer]] &amp; " !" &amp;
  Data[[#This Row],[PrevFiltered]] &amp;
  IF(AND(Data[[#This Row],[PrevFiltered]]&lt;&gt;"", Data[[#This Row],[PE_Filtered]]&lt;&gt;""), " !", "") &amp;
  Data[[#This Row],[PE_Filtered]]
)</f>
        <v xml:space="preserve"> !</v>
      </c>
      <c r="B29" s="10"/>
      <c r="C29" s="10"/>
      <c r="D29" s="10"/>
      <c r="E29" s="10"/>
      <c r="F29" s="10"/>
      <c r="G29" s="10"/>
      <c r="H29" s="10"/>
      <c r="I29" s="10"/>
      <c r="J29" s="10"/>
      <c r="K29" s="10"/>
      <c r="L29" s="10"/>
      <c r="M29" s="10"/>
      <c r="N29" s="10"/>
      <c r="O29" s="10"/>
      <c r="P29" s="10"/>
      <c r="Q29" s="10"/>
      <c r="R29" s="10"/>
      <c r="S29" s="10"/>
      <c r="T29" s="10"/>
      <c r="U29" s="10"/>
      <c r="V29" s="10"/>
      <c r="W29" s="10"/>
      <c r="X29" s="10"/>
      <c r="Y29" s="10" t="b" cm="1">
        <f t="array" ref="Y29">_xlfn.LET(
  _xlpm.y, MATCH(TEXT(This_Year,"0"), Data[#Headers], 0),
  LOWER(_xlfn.XLOOKUP(Data[[#This Row],[Buyer]], Data[Buyer], _xlfn.CHOOSECOLS(Data[], _xlpm.y), ""))&lt;&gt;"no"
)</f>
        <v>1</v>
      </c>
      <c r="Z29" s="10" t="str" cm="1">
        <f t="array" ref="Z29">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29" s="10" t="str" cm="1">
        <f t="array" ref="AA29">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29" s="10"/>
      <c r="AC29" s="10"/>
      <c r="AD29" s="10"/>
      <c r="AE29" s="10"/>
      <c r="AF29" s="10"/>
      <c r="AG29" s="10"/>
    </row>
    <row r="30" spans="1:33" ht="16" customHeight="1" x14ac:dyDescent="0.25">
      <c r="A30" s="2" t="str">
        <f>IF(NOT(Data[[#This Row],[ActiveNow]]), "",
  Data[[#This Row],[Buyer]] &amp; " !" &amp;
  Data[[#This Row],[PrevFiltered]] &amp;
  IF(AND(Data[[#This Row],[PrevFiltered]]&lt;&gt;"", Data[[#This Row],[PE_Filtered]]&lt;&gt;""), " !", "") &amp;
  Data[[#This Row],[PE_Filtered]]
)</f>
        <v xml:space="preserve"> !</v>
      </c>
      <c r="B30" s="7"/>
      <c r="C30" s="7"/>
      <c r="D30" s="7"/>
      <c r="E30" s="7"/>
      <c r="F30" s="7"/>
      <c r="G30" s="7"/>
      <c r="H30" s="7"/>
      <c r="I30" s="7"/>
      <c r="J30" s="7"/>
      <c r="K30" s="7"/>
      <c r="L30" s="7"/>
      <c r="M30" s="7"/>
      <c r="N30" s="7"/>
      <c r="O30" s="7"/>
      <c r="P30" s="7"/>
      <c r="Q30" s="7"/>
      <c r="R30" s="7"/>
      <c r="S30" s="7"/>
      <c r="T30" s="7"/>
      <c r="U30" s="7"/>
      <c r="V30" s="7"/>
      <c r="W30" s="7"/>
      <c r="X30" s="7"/>
      <c r="Y30" s="7" t="b" cm="1">
        <f t="array" ref="Y30">_xlfn.LET(
  _xlpm.y, MATCH(TEXT(This_Year,"0"), Data[#Headers], 0),
  LOWER(_xlfn.XLOOKUP(Data[[#This Row],[Buyer]], Data[Buyer], _xlfn.CHOOSECOLS(Data[], _xlpm.y), ""))&lt;&gt;"no"
)</f>
        <v>1</v>
      </c>
      <c r="Z30" s="7" t="str" cm="1">
        <f t="array" ref="Z30">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30" s="7" t="str" cm="1">
        <f t="array" ref="AA30">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30" s="7"/>
      <c r="AC30" s="7"/>
      <c r="AD30" s="7"/>
      <c r="AE30" s="7"/>
      <c r="AF30" s="7"/>
      <c r="AG30" s="7"/>
    </row>
    <row r="31" spans="1:33" ht="16" customHeight="1" x14ac:dyDescent="0.25">
      <c r="A31" s="2" t="str">
        <f>IF(NOT(Data[[#This Row],[ActiveNow]]), "",
  Data[[#This Row],[Buyer]] &amp; " !" &amp;
  Data[[#This Row],[PrevFiltered]] &amp;
  IF(AND(Data[[#This Row],[PrevFiltered]]&lt;&gt;"", Data[[#This Row],[PE_Filtered]]&lt;&gt;""), " !", "") &amp;
  Data[[#This Row],[PE_Filtered]]
)</f>
        <v xml:space="preserve"> !</v>
      </c>
      <c r="B31" s="10"/>
      <c r="C31" s="10"/>
      <c r="D31" s="10"/>
      <c r="E31" s="10"/>
      <c r="F31" s="10"/>
      <c r="G31" s="10"/>
      <c r="H31" s="10"/>
      <c r="I31" s="10"/>
      <c r="J31" s="10"/>
      <c r="K31" s="10"/>
      <c r="L31" s="10"/>
      <c r="M31" s="10"/>
      <c r="N31" s="10"/>
      <c r="O31" s="10"/>
      <c r="P31" s="10"/>
      <c r="Q31" s="10"/>
      <c r="R31" s="10"/>
      <c r="S31" s="10"/>
      <c r="T31" s="10"/>
      <c r="U31" s="10"/>
      <c r="V31" s="10"/>
      <c r="W31" s="10"/>
      <c r="X31" s="10"/>
      <c r="Y31" s="10" t="b" cm="1">
        <f t="array" ref="Y31">_xlfn.LET(
  _xlpm.y, MATCH(TEXT(This_Year,"0"), Data[#Headers], 0),
  LOWER(_xlfn.XLOOKUP(Data[[#This Row],[Buyer]], Data[Buyer], _xlfn.CHOOSECOLS(Data[], _xlpm.y), ""))&lt;&gt;"no"
)</f>
        <v>1</v>
      </c>
      <c r="Z31" s="10" t="str" cm="1">
        <f t="array" ref="Z31">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31" s="10" t="str" cm="1">
        <f t="array" ref="AA31">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31" s="10"/>
      <c r="AC31" s="10"/>
      <c r="AD31" s="10"/>
      <c r="AE31" s="10"/>
      <c r="AF31" s="10"/>
      <c r="AG31" s="10"/>
    </row>
    <row r="32" spans="1:33" ht="16" customHeight="1" x14ac:dyDescent="0.25">
      <c r="A32" s="2" t="str">
        <f>IF(NOT(Data[[#This Row],[ActiveNow]]), "",
  Data[[#This Row],[Buyer]] &amp; " !" &amp;
  Data[[#This Row],[PrevFiltered]] &amp;
  IF(AND(Data[[#This Row],[PrevFiltered]]&lt;&gt;"", Data[[#This Row],[PE_Filtered]]&lt;&gt;""), " !", "") &amp;
  Data[[#This Row],[PE_Filtered]]
)</f>
        <v xml:space="preserve"> !</v>
      </c>
      <c r="B32" s="7"/>
      <c r="C32" s="7"/>
      <c r="D32" s="7"/>
      <c r="E32" s="7"/>
      <c r="F32" s="7"/>
      <c r="G32" s="7"/>
      <c r="H32" s="7"/>
      <c r="I32" s="7"/>
      <c r="J32" s="7"/>
      <c r="K32" s="7"/>
      <c r="L32" s="7"/>
      <c r="M32" s="7"/>
      <c r="N32" s="7"/>
      <c r="O32" s="7"/>
      <c r="P32" s="7"/>
      <c r="Q32" s="7"/>
      <c r="R32" s="7"/>
      <c r="S32" s="7"/>
      <c r="T32" s="7"/>
      <c r="U32" s="7"/>
      <c r="V32" s="7"/>
      <c r="W32" s="7"/>
      <c r="X32" s="7"/>
      <c r="Y32" s="7" t="b" cm="1">
        <f t="array" ref="Y32">_xlfn.LET(
  _xlpm.y, MATCH(TEXT(This_Year,"0"), Data[#Headers], 0),
  LOWER(_xlfn.XLOOKUP(Data[[#This Row],[Buyer]], Data[Buyer], _xlfn.CHOOSECOLS(Data[], _xlpm.y), ""))&lt;&gt;"no"
)</f>
        <v>1</v>
      </c>
      <c r="Z32" s="7" t="str" cm="1">
        <f t="array" ref="Z32">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32" s="7" t="str" cm="1">
        <f t="array" ref="AA32">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32" s="7"/>
      <c r="AC32" s="7"/>
      <c r="AD32" s="7"/>
      <c r="AE32" s="7"/>
      <c r="AF32" s="7"/>
      <c r="AG32" s="7"/>
    </row>
    <row r="33" spans="1:33" ht="17" x14ac:dyDescent="0.25">
      <c r="A33" s="2" t="str">
        <f>IF(NOT(Data[[#This Row],[ActiveNow]]), "",
  Data[[#This Row],[Buyer]] &amp; " !" &amp;
  Data[[#This Row],[PrevFiltered]] &amp;
  IF(AND(Data[[#This Row],[PrevFiltered]]&lt;&gt;"", Data[[#This Row],[PE_Filtered]]&lt;&gt;""), " !", "") &amp;
  Data[[#This Row],[PE_Filtered]]
)</f>
        <v xml:space="preserve"> !</v>
      </c>
      <c r="B33" s="10"/>
      <c r="C33" s="10"/>
      <c r="D33" s="10"/>
      <c r="E33" s="10"/>
      <c r="F33" s="10"/>
      <c r="G33" s="10"/>
      <c r="H33" s="10"/>
      <c r="I33" s="10"/>
      <c r="J33" s="10"/>
      <c r="K33" s="10"/>
      <c r="L33" s="10"/>
      <c r="M33" s="10"/>
      <c r="N33" s="10"/>
      <c r="O33" s="10"/>
      <c r="P33" s="10"/>
      <c r="Q33" s="10"/>
      <c r="R33" s="10"/>
      <c r="S33" s="10"/>
      <c r="T33" s="10"/>
      <c r="U33" s="10"/>
      <c r="V33" s="10"/>
      <c r="W33" s="10"/>
      <c r="X33" s="10"/>
      <c r="Y33" s="10" t="b" cm="1">
        <f t="array" ref="Y33">_xlfn.LET(
  _xlpm.y, MATCH(TEXT(This_Year,"0"), Data[#Headers], 0),
  LOWER(_xlfn.XLOOKUP(Data[[#This Row],[Buyer]], Data[Buyer], _xlfn.CHOOSECOLS(Data[], _xlpm.y), ""))&lt;&gt;"no"
)</f>
        <v>1</v>
      </c>
      <c r="Z33" s="10" t="str" cm="1">
        <f t="array" ref="Z33">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33" s="10" t="str" cm="1">
        <f t="array" ref="AA33">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33" s="10"/>
      <c r="AC33" s="10"/>
      <c r="AD33" s="10"/>
      <c r="AE33" s="10"/>
      <c r="AF33" s="10"/>
      <c r="AG33" s="10"/>
    </row>
    <row r="34" spans="1:33" ht="17" x14ac:dyDescent="0.25">
      <c r="A34" s="2" t="str">
        <f>IF(NOT(Data[[#This Row],[ActiveNow]]), "",
  Data[[#This Row],[Buyer]] &amp; " !" &amp;
  Data[[#This Row],[PrevFiltered]] &amp;
  IF(AND(Data[[#This Row],[PrevFiltered]]&lt;&gt;"", Data[[#This Row],[PE_Filtered]]&lt;&gt;""), " !", "") &amp;
  Data[[#This Row],[PE_Filtered]]
)</f>
        <v xml:space="preserve"> !</v>
      </c>
      <c r="B34" s="7"/>
      <c r="C34" s="7"/>
      <c r="D34" s="7"/>
      <c r="E34" s="7"/>
      <c r="F34" s="7"/>
      <c r="G34" s="7"/>
      <c r="H34" s="7"/>
      <c r="I34" s="7"/>
      <c r="J34" s="7"/>
      <c r="K34" s="7"/>
      <c r="L34" s="7"/>
      <c r="M34" s="7"/>
      <c r="N34" s="7"/>
      <c r="O34" s="7"/>
      <c r="P34" s="7"/>
      <c r="Q34" s="7"/>
      <c r="R34" s="7"/>
      <c r="S34" s="7"/>
      <c r="T34" s="7"/>
      <c r="U34" s="7"/>
      <c r="V34" s="7"/>
      <c r="W34" s="7"/>
      <c r="X34" s="7"/>
      <c r="Y34" s="7" t="b" cm="1">
        <f t="array" ref="Y34">_xlfn.LET(
  _xlpm.y, MATCH(TEXT(This_Year,"0"), Data[#Headers], 0),
  LOWER(_xlfn.XLOOKUP(Data[[#This Row],[Buyer]], Data[Buyer], _xlfn.CHOOSECOLS(Data[], _xlpm.y), ""))&lt;&gt;"no"
)</f>
        <v>1</v>
      </c>
      <c r="Z34" s="7" t="str" cm="1">
        <f t="array" ref="Z34">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34" s="7" t="str" cm="1">
        <f t="array" ref="AA34">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34" s="7"/>
      <c r="AC34" s="7"/>
      <c r="AD34" s="7"/>
      <c r="AE34" s="7"/>
      <c r="AF34" s="7"/>
      <c r="AG34" s="7"/>
    </row>
    <row r="35" spans="1:33" ht="17" x14ac:dyDescent="0.25">
      <c r="A35" s="2" t="str">
        <f>IF(NOT(Data[[#This Row],[ActiveNow]]), "",
  Data[[#This Row],[Buyer]] &amp; " !" &amp;
  Data[[#This Row],[PrevFiltered]] &amp;
  IF(AND(Data[[#This Row],[PrevFiltered]]&lt;&gt;"", Data[[#This Row],[PE_Filtered]]&lt;&gt;""), " !", "") &amp;
  Data[[#This Row],[PE_Filtered]]
)</f>
        <v xml:space="preserve"> !</v>
      </c>
      <c r="B35" s="10"/>
      <c r="C35" s="10"/>
      <c r="D35" s="10"/>
      <c r="E35" s="10"/>
      <c r="F35" s="10"/>
      <c r="G35" s="10"/>
      <c r="H35" s="10"/>
      <c r="I35" s="10"/>
      <c r="J35" s="10"/>
      <c r="K35" s="10"/>
      <c r="L35" s="10"/>
      <c r="M35" s="10"/>
      <c r="N35" s="10"/>
      <c r="O35" s="10"/>
      <c r="P35" s="10"/>
      <c r="Q35" s="10"/>
      <c r="R35" s="10"/>
      <c r="S35" s="10"/>
      <c r="T35" s="10"/>
      <c r="U35" s="10"/>
      <c r="V35" s="10"/>
      <c r="W35" s="10"/>
      <c r="X35" s="10"/>
      <c r="Y35" s="10" t="b" cm="1">
        <f t="array" ref="Y35">_xlfn.LET(
  _xlpm.y, MATCH(TEXT(This_Year,"0"), Data[#Headers], 0),
  LOWER(_xlfn.XLOOKUP(Data[[#This Row],[Buyer]], Data[Buyer], _xlfn.CHOOSECOLS(Data[], _xlpm.y), ""))&lt;&gt;"no"
)</f>
        <v>1</v>
      </c>
      <c r="Z35" s="10" t="str" cm="1">
        <f t="array" ref="Z35">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35" s="10" t="str" cm="1">
        <f t="array" ref="AA35">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35" s="10"/>
      <c r="AC35" s="10"/>
      <c r="AD35" s="10"/>
      <c r="AE35" s="10"/>
      <c r="AF35" s="10"/>
      <c r="AG35" s="10"/>
    </row>
    <row r="36" spans="1:33" ht="17" x14ac:dyDescent="0.25">
      <c r="A36" s="2" t="str">
        <f>IF(NOT(Data[[#This Row],[ActiveNow]]), "",
  Data[[#This Row],[Buyer]] &amp; " !" &amp;
  Data[[#This Row],[PrevFiltered]] &amp;
  IF(AND(Data[[#This Row],[PrevFiltered]]&lt;&gt;"", Data[[#This Row],[PE_Filtered]]&lt;&gt;""), " !", "") &amp;
  Data[[#This Row],[PE_Filtered]]
)</f>
        <v xml:space="preserve"> !</v>
      </c>
      <c r="B36" s="7"/>
      <c r="C36" s="7"/>
      <c r="D36" s="7"/>
      <c r="E36" s="7"/>
      <c r="F36" s="7"/>
      <c r="G36" s="7"/>
      <c r="H36" s="7"/>
      <c r="I36" s="7"/>
      <c r="J36" s="7"/>
      <c r="K36" s="7"/>
      <c r="L36" s="7"/>
      <c r="M36" s="7"/>
      <c r="N36" s="7"/>
      <c r="O36" s="7"/>
      <c r="P36" s="7"/>
      <c r="Q36" s="7"/>
      <c r="R36" s="7"/>
      <c r="S36" s="7"/>
      <c r="T36" s="7"/>
      <c r="U36" s="7"/>
      <c r="V36" s="7"/>
      <c r="W36" s="7"/>
      <c r="X36" s="7"/>
      <c r="Y36" s="7" t="b" cm="1">
        <f t="array" ref="Y36">_xlfn.LET(
  _xlpm.y, MATCH(TEXT(This_Year,"0"), Data[#Headers], 0),
  LOWER(_xlfn.XLOOKUP(Data[[#This Row],[Buyer]], Data[Buyer], _xlfn.CHOOSECOLS(Data[], _xlpm.y), ""))&lt;&gt;"no"
)</f>
        <v>1</v>
      </c>
      <c r="Z36" s="7" t="str" cm="1">
        <f t="array" ref="Z36">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36" s="7" t="str" cm="1">
        <f t="array" ref="AA36">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36" s="7"/>
      <c r="AC36" s="7"/>
      <c r="AD36" s="7"/>
      <c r="AE36" s="7"/>
      <c r="AF36" s="7"/>
      <c r="AG36" s="7"/>
    </row>
    <row r="37" spans="1:33" ht="17" x14ac:dyDescent="0.25">
      <c r="A37" s="2" t="str">
        <f>IF(NOT(Data[[#This Row],[ActiveNow]]), "",
  Data[[#This Row],[Buyer]] &amp; " !" &amp;
  Data[[#This Row],[PrevFiltered]] &amp;
  IF(AND(Data[[#This Row],[PrevFiltered]]&lt;&gt;"", Data[[#This Row],[PE_Filtered]]&lt;&gt;""), " !", "") &amp;
  Data[[#This Row],[PE_Filtered]]
)</f>
        <v xml:space="preserve"> !</v>
      </c>
      <c r="B37" s="10"/>
      <c r="C37" s="10"/>
      <c r="D37" s="10"/>
      <c r="E37" s="10"/>
      <c r="F37" s="10"/>
      <c r="G37" s="10"/>
      <c r="H37" s="10"/>
      <c r="I37" s="10"/>
      <c r="J37" s="10"/>
      <c r="K37" s="10"/>
      <c r="L37" s="10"/>
      <c r="M37" s="10"/>
      <c r="N37" s="10"/>
      <c r="O37" s="10"/>
      <c r="P37" s="10"/>
      <c r="Q37" s="10"/>
      <c r="R37" s="10"/>
      <c r="S37" s="10"/>
      <c r="T37" s="10"/>
      <c r="U37" s="10"/>
      <c r="V37" s="10"/>
      <c r="W37" s="10"/>
      <c r="X37" s="10"/>
      <c r="Y37" s="10" t="b" cm="1">
        <f t="array" ref="Y37">_xlfn.LET(
  _xlpm.y, MATCH(TEXT(This_Year,"0"), Data[#Headers], 0),
  LOWER(_xlfn.XLOOKUP(Data[[#This Row],[Buyer]], Data[Buyer], _xlfn.CHOOSECOLS(Data[], _xlpm.y), ""))&lt;&gt;"no"
)</f>
        <v>1</v>
      </c>
      <c r="Z37" s="10" t="str" cm="1">
        <f t="array" ref="Z37">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37" s="10" t="str" cm="1">
        <f t="array" ref="AA37">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37" s="10"/>
      <c r="AC37" s="10"/>
      <c r="AD37" s="10"/>
      <c r="AE37" s="10"/>
      <c r="AF37" s="10"/>
      <c r="AG37" s="10"/>
    </row>
    <row r="38" spans="1:33" ht="17" x14ac:dyDescent="0.25">
      <c r="A38" s="2" t="str">
        <f>IF(NOT(Data[[#This Row],[ActiveNow]]), "",
  Data[[#This Row],[Buyer]] &amp; " !" &amp;
  Data[[#This Row],[PrevFiltered]] &amp;
  IF(AND(Data[[#This Row],[PrevFiltered]]&lt;&gt;"", Data[[#This Row],[PE_Filtered]]&lt;&gt;""), " !", "") &amp;
  Data[[#This Row],[PE_Filtered]]
)</f>
        <v xml:space="preserve"> !</v>
      </c>
      <c r="B38" s="3"/>
      <c r="C38" s="3"/>
      <c r="D38" s="3"/>
      <c r="E38" s="3"/>
      <c r="F38" s="3"/>
      <c r="G38" s="3"/>
      <c r="H38" s="3"/>
      <c r="I38" s="3"/>
      <c r="J38" s="3"/>
      <c r="K38" s="3"/>
      <c r="L38" s="3"/>
      <c r="M38" s="3"/>
      <c r="N38" s="3"/>
      <c r="O38" s="3"/>
      <c r="P38" s="3"/>
      <c r="Q38" s="3"/>
      <c r="R38" s="3"/>
      <c r="S38" s="3"/>
      <c r="T38" s="3"/>
      <c r="U38" s="3"/>
      <c r="V38" s="3"/>
      <c r="W38" s="3"/>
      <c r="X38" s="3"/>
      <c r="Y38" s="3" t="b" cm="1">
        <f t="array" ref="Y38">_xlfn.LET(
  _xlpm.y, MATCH(TEXT(This_Year,"0"), Data[#Headers], 0),
  LOWER(_xlfn.XLOOKUP(Data[[#This Row],[Buyer]], Data[Buyer], _xlfn.CHOOSECOLS(Data[], _xlpm.y), ""))&lt;&gt;"no"
)</f>
        <v>1</v>
      </c>
      <c r="Z38" s="3" t="str" cm="1">
        <f t="array" ref="Z38">_xlfn.LET(
  _xlpm.y, MATCH(TEXT(This_Year,"0"), Data[#Headers], 0),
  _xlpm.actNames, _xlfn._xlws.FILTER(Data[Buyer], Data[ActiveNow]),
  _xlpm.prevStart, _xlpm.y-Years_Exclude,
  _xlpm.rowAll, INDEX(Data[], ROW()-MIN(ROW(Data[]))+1, 0),
  _xlpm.prevIdx, _xlfn.SEQUENCE(Years_Exclude,,_xlpm.prevStart),
  _xlpm.prevVals, _xlfn.CHOOSECOLS(_xlpm.rowAll, _xlpm.prevIdx),
  _xlpm.normPrev, LOWER(TRIM(_xlpm.prevVals)),
  _xlpm.keep, (_xlpm.normPrev&lt;&gt;"") * ISNUMBER(MATCH(_xlpm.normPrev, LOWER(TRIM(_xlpm.actNames)), 0)) * (_xlpm.normPrev&lt;&gt;LOWER(TRIM(Data[[#This Row],[Buyer]]))),
  IFERROR(_xlfn.TEXTJOIN(" !", TRUE, _xlfn._xlws.FILTER(_xlpm.prevVals, _xlpm.keep)), "")
)</f>
        <v/>
      </c>
      <c r="AA38" s="3" t="str" cm="1">
        <f t="array" ref="AA38">_xlfn.LET(
  _xlpm.y, MATCH(TEXT(This_Year,"0"), Data[#Headers], 0),
  _xlpm.actNames, _xlfn._xlws.FILTER(Data[Buyer], Data[ActiveNow]),
  _xlpm.peRow, Data[[#This Row],[Permanent Exclusions 1]:[Permanent Exclusions 10]],
  _xlpm.peVals, _xlfn.TOCOL(_xlpm.peRow, 1),
  _xlpm.normPE, LOWER(TRIM(_xlpm.peVals)),
  _xlpm.keep, (_xlpm.normPE&lt;&gt;"") * ISNUMBER(MATCH(_xlpm.normPE, LOWER(TRIM(_xlpm.actNames)), 0)) * (_xlpm.normPE&lt;&gt;LOWER(TRIM(Data[[#This Row],[Buyer]]))),
  IFERROR(_xlfn.TEXTJOIN(" !", TRUE, _xlfn._xlws.FILTER(_xlpm.peVals, _xlpm.keep)), "")
)</f>
        <v/>
      </c>
      <c r="AB38" s="3"/>
      <c r="AC38" s="3"/>
      <c r="AD38" s="3"/>
      <c r="AE38" s="3"/>
      <c r="AF38" s="3"/>
      <c r="AG38" s="3"/>
    </row>
    <row r="61" spans="3:3" x14ac:dyDescent="0.2">
      <c r="C61" s="1"/>
    </row>
    <row r="62" spans="3:3" x14ac:dyDescent="0.2">
      <c r="C62" s="1"/>
    </row>
    <row r="63" spans="3:3" x14ac:dyDescent="0.2">
      <c r="C63" s="1"/>
    </row>
    <row r="64" spans="3:3" x14ac:dyDescent="0.2">
      <c r="C64" s="1"/>
    </row>
    <row r="65" spans="3:3" x14ac:dyDescent="0.2">
      <c r="C65" s="1"/>
    </row>
    <row r="66" spans="3:3" x14ac:dyDescent="0.2">
      <c r="C66" s="1"/>
    </row>
    <row r="67" spans="3:3" x14ac:dyDescent="0.2">
      <c r="C67" s="1"/>
    </row>
  </sheetData>
  <sortState xmlns:xlrd2="http://schemas.microsoft.com/office/spreadsheetml/2017/richdata2" ref="C8:N25">
    <sortCondition ref="C8:C25"/>
  </sortState>
  <phoneticPr fontId="6" type="noConversion"/>
  <conditionalFormatting sqref="A8:XFD38">
    <cfRule type="expression" dxfId="13" priority="2">
      <formula>COUNTIF($A8:$P8,"Yes")&gt;0</formula>
    </cfRule>
    <cfRule type="expression" dxfId="12" priority="3">
      <formula>COUNTIF($A8:$P8,"No")&gt;0</formula>
    </cfRule>
  </conditionalFormatting>
  <conditionalFormatting sqref="D8:N38">
    <cfRule type="expression" dxfId="10" priority="43">
      <formula>AND(D8&lt;&gt;"", COUNTIF(D$8:D$38, D8)=2, LOWER(TRIM(D8))&lt;&gt;"yes", LOWER(TRIM(D8))&lt;&gt;"no")</formula>
    </cfRule>
  </conditionalFormatting>
  <conditionalFormatting sqref="D8:W38">
    <cfRule type="expression" dxfId="11" priority="1">
      <formula>AND(D8&lt;&gt;"", ISNA(MATCH(D8, Names, 0)), D8&lt;&gt;"Yes", D8&lt;&gt;"No")</formula>
    </cfRule>
  </conditionalFormatting>
  <dataValidations count="1">
    <dataValidation type="list" errorStyle="warning" allowBlank="1" showErrorMessage="1" errorTitle="No name" error="This name is not on the list in column B" sqref="D8:W38" xr:uid="{B9E12816-32FD-6B4E-9A44-5D2C0B2F90C4}">
      <formula1>Names</formula1>
    </dataValidation>
  </dataValidations>
  <hyperlinks>
    <hyperlink ref="B14" r:id="rId1" display="rick_clark@telus.net" xr:uid="{2AA50B9C-8F39-344F-BEA2-104D81FD23D7}"/>
    <hyperlink ref="B2" r:id="rId2" xr:uid="{AF548BA2-0382-3D48-84AA-39996B62911C}"/>
    <hyperlink ref="B9" r:id="rId3" display="byerex@gmail.com" xr:uid="{9973A260-3FB3-294D-9530-46B2F7DF8777}"/>
    <hyperlink ref="B11" r:id="rId4" display="yerexkaylan@gmail.com" xr:uid="{B31D8B7B-936A-A442-8E9A-F84740273E98}"/>
    <hyperlink ref="B13" r:id="rId5" display="landonbrae@gmail.com" xr:uid="{9419F831-F9FF-8043-BB68-6D0B7986CA9E}"/>
    <hyperlink ref="B8" r:id="rId6" display="andyjgrant1@gmail.com" xr:uid="{192D674B-77FB-1A4B-B05D-775A9BF52F7C}"/>
  </hyperlinks>
  <pageMargins left="0.7" right="0.7" top="0.75" bottom="0.75" header="0.3" footer="0.3"/>
  <drawing r:id="rId7"/>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F6C76-14A3-CA4D-942A-5CDF47CEE6F7}">
  <sheetPr codeName="Sheet2"/>
  <dimension ref="A1:D37"/>
  <sheetViews>
    <sheetView workbookViewId="0">
      <selection activeCell="D2" sqref="D2"/>
    </sheetView>
  </sheetViews>
  <sheetFormatPr baseColWidth="10" defaultRowHeight="16" x14ac:dyDescent="0.2"/>
  <cols>
    <col min="1" max="1" width="35.5" customWidth="1"/>
    <col min="2" max="2" width="23.83203125" bestFit="1" customWidth="1"/>
  </cols>
  <sheetData>
    <row r="1" spans="1:4" x14ac:dyDescent="0.2">
      <c r="A1" t="s">
        <v>21</v>
      </c>
      <c r="B1" t="s">
        <v>27</v>
      </c>
      <c r="C1" t="s">
        <v>25</v>
      </c>
      <c r="D1" t="s">
        <v>26</v>
      </c>
    </row>
    <row r="2" spans="1:4" x14ac:dyDescent="0.2">
      <c r="A2" t="str" cm="1">
        <f t="array" ref="A2:A11">_xlfn._xlws.FILTER(Data[Output], INDEX(Data[], 0, MATCH(TEXT(This_Year, "0"), Data[#Headers], 0)) = "Yes")</f>
        <v>Adult1 !Adult7 !Spouse2 !Adult4 !Spouse1 !Kid1</v>
      </c>
      <c r="B2" t="str" cm="1">
        <f t="array" ref="B2:B11">_xlfn._xlws.FILTER(Data[Contact], INDEX(Data[], 0, MATCH(TEXT(This_Year, "0"), Data[#Headers], 0)) = "Yes")</f>
        <v>email1</v>
      </c>
      <c r="C2" t="str" cm="1">
        <f t="array" ref="C2:C11">_xlfn._xlws.FILTER(Data[Buyer], INDEX(Data[], 0, MATCH(TEXT(This_Year, "0"), Data[#Headers], 0)) = "Yes")</f>
        <v>Adult1</v>
      </c>
      <c r="D2" s="1" t="s">
        <v>56</v>
      </c>
    </row>
    <row r="3" spans="1:4" x14ac:dyDescent="0.2">
      <c r="A3" t="str">
        <v>Spouse1 !Adult4 !Adult2 !Adult5 !Adult1 !Kid1</v>
      </c>
      <c r="B3" t="str">
        <v>email2</v>
      </c>
      <c r="C3" t="str">
        <v>Spouse1</v>
      </c>
      <c r="D3" s="1" t="s">
        <v>64</v>
      </c>
    </row>
    <row r="4" spans="1:4" x14ac:dyDescent="0.2">
      <c r="A4" t="str">
        <v>Kid1 !Adult2 !Adult4 !Spouse2 !Adult1 !Spouse1</v>
      </c>
      <c r="B4">
        <v>0</v>
      </c>
      <c r="C4" t="str">
        <v>Kid1</v>
      </c>
      <c r="D4" s="1" t="s">
        <v>63</v>
      </c>
    </row>
    <row r="5" spans="1:4" x14ac:dyDescent="0.2">
      <c r="A5" t="str">
        <v>Adult2 !Adult5 !Adult3 !Adult1 !Spouse2</v>
      </c>
      <c r="B5" t="str">
        <v>email3</v>
      </c>
      <c r="C5" t="str">
        <v>Adult2</v>
      </c>
      <c r="D5" s="1" t="s">
        <v>57</v>
      </c>
    </row>
    <row r="6" spans="1:4" x14ac:dyDescent="0.2">
      <c r="A6" t="str">
        <v>Spouse2 !Adult3 !Adult5 !Kid1 !Adult2</v>
      </c>
      <c r="B6">
        <v>0</v>
      </c>
      <c r="C6" t="str">
        <v>Spouse2</v>
      </c>
      <c r="D6" s="1" t="s">
        <v>65</v>
      </c>
    </row>
    <row r="7" spans="1:4" x14ac:dyDescent="0.2">
      <c r="A7" t="str">
        <v>Adult3 !Kid1 !Adult1 !Adult7</v>
      </c>
      <c r="B7" t="str">
        <v>email4</v>
      </c>
      <c r="C7" t="str">
        <v>Adult3</v>
      </c>
      <c r="D7" s="1" t="s">
        <v>58</v>
      </c>
    </row>
    <row r="8" spans="1:4" x14ac:dyDescent="0.2">
      <c r="A8" t="str">
        <v>Adult4 !Spouse1 !Adult7 !Adult6</v>
      </c>
      <c r="B8" t="str">
        <v>email5</v>
      </c>
      <c r="C8" t="str">
        <v>Adult4</v>
      </c>
      <c r="D8" s="1" t="s">
        <v>59</v>
      </c>
    </row>
    <row r="9" spans="1:4" x14ac:dyDescent="0.2">
      <c r="A9" t="str">
        <v>Adult5 !Adult1 !Kid1 !Adult2</v>
      </c>
      <c r="B9" t="str">
        <v>email6</v>
      </c>
      <c r="C9" t="str">
        <v>Adult5</v>
      </c>
      <c r="D9" s="1" t="s">
        <v>60</v>
      </c>
    </row>
    <row r="10" spans="1:4" x14ac:dyDescent="0.2">
      <c r="A10" t="str">
        <v>Adult6 !Spouse2 !Spouse1 !Adult3</v>
      </c>
      <c r="B10" t="str">
        <v>email7</v>
      </c>
      <c r="C10" t="str">
        <v>Adult6</v>
      </c>
      <c r="D10" s="1" t="s">
        <v>61</v>
      </c>
    </row>
    <row r="11" spans="1:4" x14ac:dyDescent="0.2">
      <c r="A11" t="str">
        <v>Adult7 !Adult6 !Adult6 !Spouse1</v>
      </c>
      <c r="B11" t="str">
        <v>email8</v>
      </c>
      <c r="C11" t="str">
        <v>Adult7</v>
      </c>
      <c r="D11" s="1" t="s">
        <v>62</v>
      </c>
    </row>
    <row r="12" spans="1:4" x14ac:dyDescent="0.2">
      <c r="D12" s="1"/>
    </row>
    <row r="13" spans="1:4" x14ac:dyDescent="0.2">
      <c r="D13" s="1"/>
    </row>
    <row r="14" spans="1:4" x14ac:dyDescent="0.2">
      <c r="D14" s="1"/>
    </row>
    <row r="15" spans="1:4" x14ac:dyDescent="0.2">
      <c r="D15" s="1"/>
    </row>
    <row r="16" spans="1:4" x14ac:dyDescent="0.2">
      <c r="D16" s="1"/>
    </row>
    <row r="17" spans="4:4" x14ac:dyDescent="0.2">
      <c r="D17" s="1"/>
    </row>
    <row r="18" spans="4:4" x14ac:dyDescent="0.2">
      <c r="D18" s="1"/>
    </row>
    <row r="19" spans="4:4" x14ac:dyDescent="0.2">
      <c r="D19" s="1"/>
    </row>
    <row r="20" spans="4:4" x14ac:dyDescent="0.2">
      <c r="D20" s="1"/>
    </row>
    <row r="21" spans="4:4" x14ac:dyDescent="0.2">
      <c r="D21" s="1"/>
    </row>
    <row r="22" spans="4:4" x14ac:dyDescent="0.2">
      <c r="D22" s="1"/>
    </row>
    <row r="31" spans="4:4" x14ac:dyDescent="0.2">
      <c r="D31" s="1"/>
    </row>
    <row r="32" spans="4:4" x14ac:dyDescent="0.2">
      <c r="D32" s="1"/>
    </row>
    <row r="33" spans="4:4" x14ac:dyDescent="0.2">
      <c r="D33" s="1"/>
    </row>
    <row r="34" spans="4:4" x14ac:dyDescent="0.2">
      <c r="D34" s="1"/>
    </row>
    <row r="35" spans="4:4" x14ac:dyDescent="0.2">
      <c r="D35" s="1"/>
    </row>
    <row r="36" spans="4:4" x14ac:dyDescent="0.2">
      <c r="D36" s="1"/>
    </row>
    <row r="37" spans="4:4" x14ac:dyDescent="0.2">
      <c r="D37" s="1"/>
    </row>
  </sheetData>
  <dataConsolidate/>
  <conditionalFormatting sqref="I31:I38">
    <cfRule type="duplicateValues" dxfId="21" priority="8"/>
  </conditionalFormatting>
  <conditionalFormatting sqref="H31:H38">
    <cfRule type="duplicateValues" dxfId="20" priority="7"/>
  </conditionalFormatting>
  <conditionalFormatting sqref="G31:G38">
    <cfRule type="duplicateValues" dxfId="19" priority="6"/>
  </conditionalFormatting>
  <conditionalFormatting sqref="F31:F38">
    <cfRule type="duplicateValues" dxfId="18" priority="5"/>
  </conditionalFormatting>
  <conditionalFormatting sqref="H2:H8">
    <cfRule type="duplicateValues" dxfId="17" priority="4"/>
  </conditionalFormatting>
  <conditionalFormatting sqref="G2:G8">
    <cfRule type="duplicateValues" dxfId="16" priority="3"/>
  </conditionalFormatting>
  <conditionalFormatting sqref="F2:F8">
    <cfRule type="duplicateValues" dxfId="15" priority="2"/>
  </conditionalFormatting>
  <conditionalFormatting sqref="E2:E8">
    <cfRule type="duplicateValues" dxfId="14" priority="1"/>
  </conditionalFormatting>
  <hyperlinks>
    <hyperlink ref="D11" r:id="rId1" xr:uid="{25159323-73E0-8E46-BD3D-3D378A6C916D}"/>
  </hyperlinks>
  <pageMargins left="0.7" right="0.7" top="0.75" bottom="0.75" header="0.3" footer="0.3"/>
  <pageSetup orientation="portrait" horizontalDpi="0" verticalDpi="0"/>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Secret Santa</vt:lpstr>
      <vt:lpstr>Send Email</vt:lpstr>
      <vt:lpstr>Contact</vt:lpstr>
      <vt:lpstr>Names</vt:lpstr>
      <vt:lpstr>This_Year</vt:lpstr>
      <vt:lpstr>Years_Exclude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 Clark</dc:creator>
  <cp:lastModifiedBy>Rick Clark</cp:lastModifiedBy>
  <dcterms:created xsi:type="dcterms:W3CDTF">2023-08-23T18:29:21Z</dcterms:created>
  <dcterms:modified xsi:type="dcterms:W3CDTF">2025-09-10T03:57:10Z</dcterms:modified>
</cp:coreProperties>
</file>